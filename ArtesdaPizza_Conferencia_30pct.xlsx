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erência 30%" sheetId="1" state="visible" r:id="rId1"/>
    <sheet xmlns:r="http://schemas.openxmlformats.org/officeDocument/2006/relationships" name="Bordas" sheetId="2" state="visible" r:id="rId2"/>
    <sheet xmlns:r="http://schemas.openxmlformats.org/officeDocument/2006/relationships" name="Meia pizza (2 sabore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%;-0.0%;&quot;-&quot;"/>
  </numFmts>
  <fonts count="10">
    <font>
      <name val="Calibri"/>
      <family val="2"/>
      <color theme="1"/>
      <sz val="11"/>
      <scheme val="minor"/>
    </font>
    <font>
      <name val="Arial"/>
      <b val="1"/>
      <color rgb="002E1A0F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color rgb="002E1A0F"/>
      <sz val="11"/>
    </font>
    <font>
      <name val="Arial"/>
      <color rgb="00666666"/>
      <sz val="9"/>
    </font>
    <font>
      <name val="Arial"/>
      <i val="1"/>
      <color rgb="00C0392B"/>
      <sz val="9"/>
    </font>
    <font>
      <name val="Arial"/>
      <b val="1"/>
      <sz val="11"/>
    </font>
    <font>
      <name val="Arial"/>
      <i val="1"/>
      <color rgb="00888888"/>
      <sz val="9"/>
    </font>
  </fonts>
  <fills count="7">
    <fill>
      <patternFill/>
    </fill>
    <fill>
      <patternFill patternType="gray125"/>
    </fill>
    <fill>
      <patternFill patternType="solid">
        <fgColor rgb="00FFF9C4"/>
      </patternFill>
    </fill>
    <fill>
      <patternFill patternType="solid">
        <fgColor rgb="002E1A0F"/>
      </patternFill>
    </fill>
    <fill>
      <patternFill patternType="solid">
        <fgColor rgb="00F4D6B0"/>
      </patternFill>
    </fill>
    <fill>
      <patternFill patternType="solid">
        <fgColor rgb="00FFF3E0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9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 wrapText="1"/>
    </xf>
    <xf numFmtId="0" fontId="5" fillId="4" borderId="0" pivotButton="0" quotePrefix="0" xfId="0"/>
    <xf numFmtId="0" fontId="2" fillId="0" borderId="1" applyAlignment="1" pivotButton="0" quotePrefix="0" xfId="0">
      <alignment horizontal="center"/>
    </xf>
    <xf numFmtId="0" fontId="3" fillId="0" borderId="1" pivotButton="0" quotePrefix="0" xfId="0"/>
    <xf numFmtId="0" fontId="6" fillId="0" borderId="1" pivotButton="0" quotePrefix="0" xfId="0"/>
    <xf numFmtId="164" fontId="2" fillId="5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0" fontId="7" fillId="0" borderId="1" pivotButton="0" quotePrefix="0" xfId="0"/>
    <xf numFmtId="164" fontId="2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9" fillId="0" borderId="0" applyAlignment="1" pivotButton="0" quotePrefix="0" xfId="0">
      <alignment wrapText="1"/>
    </xf>
    <xf numFmtId="165" fontId="2" fillId="5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0" fontId="7" fillId="0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C8E6C8"/>
        </patternFill>
      </fill>
    </dxf>
    <dxf>
      <fill>
        <patternFill patternType="solid">
          <fgColor rgb="00F8C8C8"/>
        </patternFill>
      </fill>
    </dxf>
    <dxf>
      <fill>
        <patternFill patternType="solid">
          <fgColor rgb="00E8E8E8"/>
        </patternFill>
      </fill>
    </dxf>
    <dxf>
      <fill>
        <patternFill patternType="solid">
          <fgColor rgb="00F7EB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24" customWidth="1" min="3" max="3"/>
    <col width="10" customWidth="1" min="4" max="4"/>
    <col width="10" customWidth="1" min="5" max="5"/>
    <col width="11" customWidth="1" min="6" max="6"/>
    <col width="9" customWidth="1" min="7" max="7"/>
    <col width="13" customWidth="1" min="8" max="8"/>
    <col width="10" customWidth="1" min="9" max="9"/>
    <col width="10" customWidth="1" min="10" max="10"/>
    <col width="11" customWidth="1" min="11" max="11"/>
    <col width="9" customWidth="1" min="12" max="12"/>
    <col width="13" customWidth="1" min="13" max="13"/>
  </cols>
  <sheetData>
    <row r="1">
      <c r="A1" s="1" t="inlineStr">
        <is>
          <t>ARTES DA PIZZA — Conferência da regra +30% (cardápio → Keeta)</t>
        </is>
      </c>
    </row>
    <row r="2" ht="32" customHeight="1">
      <c r="A2" s="2" t="inlineStr">
        <is>
          <t>Cardápio = preço de balcão (PDF). Esperado = cardápio × 1,30. Keeta real = o que está cadastrado HOJE no painel. Δ = quanto o Keeta está acima (+) ou abaixo (−) do esperado. Status verde = bate exato; vermelho = fora da regra; cinza = não cadastrado no Keeta.</t>
        </is>
      </c>
    </row>
    <row r="3">
      <c r="A3" s="3" t="inlineStr">
        <is>
          <t>Margem-alvo:</t>
        </is>
      </c>
      <c r="B3" s="4" t="n">
        <v>0.3</v>
      </c>
    </row>
    <row r="5" ht="32" customHeight="1">
      <c r="A5" s="5" t="inlineStr">
        <is>
          <t>Nº</t>
        </is>
      </c>
      <c r="B5" s="5" t="inlineStr">
        <is>
          <t>Pizza</t>
        </is>
      </c>
      <c r="C5" s="5" t="inlineStr">
        <is>
          <t>Nome no Keeta</t>
        </is>
      </c>
      <c r="D5" s="5" t="inlineStr">
        <is>
          <t>Cardápio
Broto</t>
        </is>
      </c>
      <c r="E5" s="5" t="inlineStr">
        <is>
          <t>Esperado
Broto</t>
        </is>
      </c>
      <c r="F5" s="5" t="inlineStr">
        <is>
          <t>Keeta real
Broto</t>
        </is>
      </c>
      <c r="G5" s="5" t="inlineStr">
        <is>
          <t>Δ Broto
R$</t>
        </is>
      </c>
      <c r="H5" s="5" t="inlineStr">
        <is>
          <t>Status
Broto</t>
        </is>
      </c>
      <c r="I5" s="5" t="inlineStr">
        <is>
          <t>Cardápio
Grande</t>
        </is>
      </c>
      <c r="J5" s="5" t="inlineStr">
        <is>
          <t>Esperado
Grande</t>
        </is>
      </c>
      <c r="K5" s="5" t="inlineStr">
        <is>
          <t>Keeta real
Grande</t>
        </is>
      </c>
      <c r="L5" s="5" t="inlineStr">
        <is>
          <t>Δ Grande
R$</t>
        </is>
      </c>
      <c r="M5" s="5" t="inlineStr">
        <is>
          <t>Status
Grande</t>
        </is>
      </c>
    </row>
    <row r="6">
      <c r="A6" s="6" t="inlineStr">
        <is>
          <t>PIZZAS SALGADAS</t>
        </is>
      </c>
    </row>
    <row r="7">
      <c r="A7" s="7" t="n">
        <v>1</v>
      </c>
      <c r="B7" s="8" t="inlineStr">
        <is>
          <t>2 QUEIJOS</t>
        </is>
      </c>
      <c r="C7" s="9" t="inlineStr">
        <is>
          <t>Pizza 2 Queijos</t>
        </is>
      </c>
      <c r="D7" s="10" t="n">
        <v>51</v>
      </c>
      <c r="E7" s="10">
        <f>IFERROR(D7*(1+$B$3),"")</f>
        <v/>
      </c>
      <c r="F7" s="10" t="n">
        <v>66.3</v>
      </c>
      <c r="G7" s="10">
        <f>IF(OR(F7="",D7=""),"",F7-E7)</f>
        <v/>
      </c>
      <c r="H7" s="11">
        <f>IF(ABS(F7-E7)&lt;0.005,"OK","Fora da regra")</f>
        <v/>
      </c>
      <c r="I7" s="12" t="n">
        <v>82</v>
      </c>
      <c r="J7" s="12">
        <f>IFERROR(I7*(1+$B$3),"")</f>
        <v/>
      </c>
      <c r="K7" s="12" t="n">
        <v>106.6</v>
      </c>
      <c r="L7" s="12">
        <f>IF(OR(K7="",I7=""),"",K7-J7)</f>
        <v/>
      </c>
      <c r="M7" s="11">
        <f>IF(ABS(K7-J7)&lt;0.005,"OK","Fora da regra")</f>
        <v/>
      </c>
    </row>
    <row r="8">
      <c r="A8" s="7" t="n">
        <v>2</v>
      </c>
      <c r="B8" s="8" t="inlineStr">
        <is>
          <t>4 QUEIJOS</t>
        </is>
      </c>
      <c r="C8" s="9" t="inlineStr">
        <is>
          <t>Pizza 4 Queijos</t>
        </is>
      </c>
      <c r="D8" s="10" t="n">
        <v>57</v>
      </c>
      <c r="E8" s="10">
        <f>IFERROR(D8*(1+$B$3),"")</f>
        <v/>
      </c>
      <c r="F8" s="10" t="n">
        <v>74.09999999999999</v>
      </c>
      <c r="G8" s="10">
        <f>IF(OR(F8="",D8=""),"",F8-E8)</f>
        <v/>
      </c>
      <c r="H8" s="11">
        <f>IF(ABS(F8-E8)&lt;0.005,"OK","Fora da regra")</f>
        <v/>
      </c>
      <c r="I8" s="12" t="n">
        <v>91</v>
      </c>
      <c r="J8" s="12">
        <f>IFERROR(I8*(1+$B$3),"")</f>
        <v/>
      </c>
      <c r="K8" s="12" t="n">
        <v>118.3</v>
      </c>
      <c r="L8" s="12">
        <f>IF(OR(K8="",I8=""),"",K8-J8)</f>
        <v/>
      </c>
      <c r="M8" s="11">
        <f>IF(ABS(K8-J8)&lt;0.005,"OK","Fora da regra")</f>
        <v/>
      </c>
    </row>
    <row r="9">
      <c r="A9" s="7" t="n">
        <v>3</v>
      </c>
      <c r="B9" s="8" t="inlineStr">
        <is>
          <t>5 QUEIJOS</t>
        </is>
      </c>
      <c r="C9" s="9" t="inlineStr">
        <is>
          <t>Pizza 5 Queijos</t>
        </is>
      </c>
      <c r="D9" s="10" t="n">
        <v>62</v>
      </c>
      <c r="E9" s="10">
        <f>IFERROR(D9*(1+$B$3),"")</f>
        <v/>
      </c>
      <c r="F9" s="10" t="n">
        <v>80.59999999999999</v>
      </c>
      <c r="G9" s="10">
        <f>IF(OR(F9="",D9=""),"",F9-E9)</f>
        <v/>
      </c>
      <c r="H9" s="11">
        <f>IF(ABS(F9-E9)&lt;0.005,"OK","Fora da regra")</f>
        <v/>
      </c>
      <c r="I9" s="12" t="n">
        <v>99</v>
      </c>
      <c r="J9" s="12">
        <f>IFERROR(I9*(1+$B$3),"")</f>
        <v/>
      </c>
      <c r="K9" s="12" t="n">
        <v>128.7</v>
      </c>
      <c r="L9" s="12">
        <f>IF(OR(K9="",I9=""),"",K9-J9)</f>
        <v/>
      </c>
      <c r="M9" s="11">
        <f>IF(ABS(K9-J9)&lt;0.005,"OK","Fora da regra")</f>
        <v/>
      </c>
    </row>
    <row r="10">
      <c r="A10" s="7" t="n">
        <v>4</v>
      </c>
      <c r="B10" s="8" t="inlineStr">
        <is>
          <t>A MODA DA CASA</t>
        </is>
      </c>
      <c r="C10" s="9" t="inlineStr">
        <is>
          <t>Pizza À Moda Da Casa</t>
        </is>
      </c>
      <c r="D10" s="10" t="n">
        <v>62</v>
      </c>
      <c r="E10" s="10">
        <f>IFERROR(D10*(1+$B$3),"")</f>
        <v/>
      </c>
      <c r="F10" s="10" t="n">
        <v>80.59999999999999</v>
      </c>
      <c r="G10" s="10">
        <f>IF(OR(F10="",D10=""),"",F10-E10)</f>
        <v/>
      </c>
      <c r="H10" s="11">
        <f>IF(ABS(F10-E10)&lt;0.005,"OK","Fora da regra")</f>
        <v/>
      </c>
      <c r="I10" s="12" t="n">
        <v>99</v>
      </c>
      <c r="J10" s="12">
        <f>IFERROR(I10*(1+$B$3),"")</f>
        <v/>
      </c>
      <c r="K10" s="12" t="n">
        <v>128.7</v>
      </c>
      <c r="L10" s="12">
        <f>IF(OR(K10="",I10=""),"",K10-J10)</f>
        <v/>
      </c>
      <c r="M10" s="11">
        <f>IF(ABS(K10-J10)&lt;0.005,"OK","Fora da regra")</f>
        <v/>
      </c>
    </row>
    <row r="11">
      <c r="A11" s="7" t="n">
        <v>5</v>
      </c>
      <c r="B11" s="8" t="inlineStr">
        <is>
          <t>ABOBRINHA</t>
        </is>
      </c>
      <c r="C11" s="9" t="inlineStr">
        <is>
          <t>Pizza Abobrinha</t>
        </is>
      </c>
      <c r="D11" s="10" t="n">
        <v>46</v>
      </c>
      <c r="E11" s="10">
        <f>IFERROR(D11*(1+$B$3),"")</f>
        <v/>
      </c>
      <c r="F11" s="10" t="n">
        <v>59.8</v>
      </c>
      <c r="G11" s="10">
        <f>IF(OR(F11="",D11=""),"",F11-E11)</f>
        <v/>
      </c>
      <c r="H11" s="11">
        <f>IF(ABS(F11-E11)&lt;0.005,"OK","Fora da regra")</f>
        <v/>
      </c>
      <c r="I11" s="12" t="n">
        <v>75</v>
      </c>
      <c r="J11" s="12">
        <f>IFERROR(I11*(1+$B$3),"")</f>
        <v/>
      </c>
      <c r="K11" s="12" t="n">
        <v>97.5</v>
      </c>
      <c r="L11" s="12">
        <f>IF(OR(K11="",I11=""),"",K11-J11)</f>
        <v/>
      </c>
      <c r="M11" s="11">
        <f>IF(ABS(K11-J11)&lt;0.005,"OK","Fora da regra")</f>
        <v/>
      </c>
    </row>
    <row r="12">
      <c r="A12" s="7" t="n">
        <v>6</v>
      </c>
      <c r="B12" s="8" t="inlineStr">
        <is>
          <t>ALADINELE</t>
        </is>
      </c>
      <c r="C12" s="9" t="inlineStr">
        <is>
          <t>Pizza Aladinele</t>
        </is>
      </c>
      <c r="D12" s="10" t="n">
        <v>53</v>
      </c>
      <c r="E12" s="10">
        <f>IFERROR(D12*(1+$B$3),"")</f>
        <v/>
      </c>
      <c r="F12" s="10" t="n">
        <v>68.90000000000001</v>
      </c>
      <c r="G12" s="10">
        <f>IF(OR(F12="",D12=""),"",F12-E12)</f>
        <v/>
      </c>
      <c r="H12" s="11">
        <f>IF(ABS(F12-E12)&lt;0.005,"OK","Fora da regra")</f>
        <v/>
      </c>
      <c r="I12" s="12" t="n">
        <v>85</v>
      </c>
      <c r="J12" s="12">
        <f>IFERROR(I12*(1+$B$3),"")</f>
        <v/>
      </c>
      <c r="K12" s="12" t="n">
        <v>110.5</v>
      </c>
      <c r="L12" s="12">
        <f>IF(OR(K12="",I12=""),"",K12-J12)</f>
        <v/>
      </c>
      <c r="M12" s="11">
        <f>IF(ABS(K12-J12)&lt;0.005,"OK","Fora da regra")</f>
        <v/>
      </c>
    </row>
    <row r="13">
      <c r="A13" s="7" t="n">
        <v>7</v>
      </c>
      <c r="B13" s="8" t="inlineStr">
        <is>
          <t>ALCACHOFRA</t>
        </is>
      </c>
      <c r="C13" s="9" t="inlineStr">
        <is>
          <t>Pizza Alcachofra</t>
        </is>
      </c>
      <c r="D13" s="10" t="n">
        <v>55</v>
      </c>
      <c r="E13" s="10">
        <f>IFERROR(D13*(1+$B$3),"")</f>
        <v/>
      </c>
      <c r="F13" s="10" t="n">
        <v>71.5</v>
      </c>
      <c r="G13" s="10">
        <f>IF(OR(F13="",D13=""),"",F13-E13)</f>
        <v/>
      </c>
      <c r="H13" s="11">
        <f>IF(ABS(F13-E13)&lt;0.005,"OK","Fora da regra")</f>
        <v/>
      </c>
      <c r="I13" s="12" t="n">
        <v>88</v>
      </c>
      <c r="J13" s="12">
        <f>IFERROR(I13*(1+$B$3),"")</f>
        <v/>
      </c>
      <c r="K13" s="12" t="n">
        <v>114.4</v>
      </c>
      <c r="L13" s="12">
        <f>IF(OR(K13="",I13=""),"",K13-J13)</f>
        <v/>
      </c>
      <c r="M13" s="11">
        <f>IF(ABS(K13-J13)&lt;0.005,"OK","Fora da regra")</f>
        <v/>
      </c>
    </row>
    <row r="14">
      <c r="A14" s="7" t="n">
        <v>8</v>
      </c>
      <c r="B14" s="8" t="inlineStr">
        <is>
          <t>ALCACHOFRA ESPECIAL</t>
        </is>
      </c>
      <c r="C14" s="9" t="inlineStr">
        <is>
          <t>Pizza Alcachofra Especial</t>
        </is>
      </c>
      <c r="D14" s="10" t="n">
        <v>62</v>
      </c>
      <c r="E14" s="10">
        <f>IFERROR(D14*(1+$B$3),"")</f>
        <v/>
      </c>
      <c r="F14" s="10" t="n">
        <v>80.59999999999999</v>
      </c>
      <c r="G14" s="10">
        <f>IF(OR(F14="",D14=""),"",F14-E14)</f>
        <v/>
      </c>
      <c r="H14" s="11">
        <f>IF(ABS(F14-E14)&lt;0.005,"OK","Fora da regra")</f>
        <v/>
      </c>
      <c r="I14" s="12" t="n">
        <v>99</v>
      </c>
      <c r="J14" s="12">
        <f>IFERROR(I14*(1+$B$3),"")</f>
        <v/>
      </c>
      <c r="K14" s="12" t="n">
        <v>128.7</v>
      </c>
      <c r="L14" s="12">
        <f>IF(OR(K14="",I14=""),"",K14-J14)</f>
        <v/>
      </c>
      <c r="M14" s="11">
        <f>IF(ABS(K14-J14)&lt;0.005,"OK","Fora da regra")</f>
        <v/>
      </c>
    </row>
    <row r="15">
      <c r="A15" s="7" t="n">
        <v>9</v>
      </c>
      <c r="B15" s="8" t="inlineStr">
        <is>
          <t>ALHO</t>
        </is>
      </c>
      <c r="C15" s="9" t="inlineStr">
        <is>
          <t>Pizza Alho</t>
        </is>
      </c>
      <c r="D15" s="10" t="n">
        <v>46</v>
      </c>
      <c r="E15" s="10">
        <f>IFERROR(D15*(1+$B$3),"")</f>
        <v/>
      </c>
      <c r="F15" s="10" t="n">
        <v>59.8</v>
      </c>
      <c r="G15" s="10">
        <f>IF(OR(F15="",D15=""),"",F15-E15)</f>
        <v/>
      </c>
      <c r="H15" s="11">
        <f>IF(ABS(F15-E15)&lt;0.005,"OK","Fora da regra")</f>
        <v/>
      </c>
      <c r="I15" s="12" t="n">
        <v>75</v>
      </c>
      <c r="J15" s="12">
        <f>IFERROR(I15*(1+$B$3),"")</f>
        <v/>
      </c>
      <c r="K15" s="12" t="n">
        <v>97.5</v>
      </c>
      <c r="L15" s="12">
        <f>IF(OR(K15="",I15=""),"",K15-J15)</f>
        <v/>
      </c>
      <c r="M15" s="11">
        <f>IF(ABS(K15-J15)&lt;0.005,"OK","Fora da regra")</f>
        <v/>
      </c>
    </row>
    <row r="16">
      <c r="A16" s="7" t="n">
        <v>10</v>
      </c>
      <c r="B16" s="8" t="inlineStr">
        <is>
          <t>ALHO PORÓ</t>
        </is>
      </c>
      <c r="C16" s="9" t="inlineStr">
        <is>
          <t>Pizza Alho Poró</t>
        </is>
      </c>
      <c r="D16" s="10" t="n">
        <v>46</v>
      </c>
      <c r="E16" s="10">
        <f>IFERROR(D16*(1+$B$3),"")</f>
        <v/>
      </c>
      <c r="F16" s="10" t="n">
        <v>59.8</v>
      </c>
      <c r="G16" s="10">
        <f>IF(OR(F16="",D16=""),"",F16-E16)</f>
        <v/>
      </c>
      <c r="H16" s="11">
        <f>IF(ABS(F16-E16)&lt;0.005,"OK","Fora da regra")</f>
        <v/>
      </c>
      <c r="I16" s="12" t="n">
        <v>75</v>
      </c>
      <c r="J16" s="12">
        <f>IFERROR(I16*(1+$B$3),"")</f>
        <v/>
      </c>
      <c r="K16" s="12" t="n">
        <v>97.5</v>
      </c>
      <c r="L16" s="12">
        <f>IF(OR(K16="",I16=""),"",K16-J16)</f>
        <v/>
      </c>
      <c r="M16" s="11">
        <f>IF(ABS(K16-J16)&lt;0.005,"OK","Fora da regra")</f>
        <v/>
      </c>
    </row>
    <row r="17">
      <c r="A17" s="7" t="n">
        <v>11</v>
      </c>
      <c r="B17" s="8" t="inlineStr">
        <is>
          <t>ALICHE IMPORTADO</t>
        </is>
      </c>
      <c r="C17" s="9" t="inlineStr">
        <is>
          <t>Pizza Aliche Importado</t>
        </is>
      </c>
      <c r="D17" s="10" t="n">
        <v>61</v>
      </c>
      <c r="E17" s="10">
        <f>IFERROR(D17*(1+$B$3),"")</f>
        <v/>
      </c>
      <c r="F17" s="10" t="n">
        <v>79.3</v>
      </c>
      <c r="G17" s="10">
        <f>IF(OR(F17="",D17=""),"",F17-E17)</f>
        <v/>
      </c>
      <c r="H17" s="11">
        <f>IF(ABS(F17-E17)&lt;0.005,"OK","Fora da regra")</f>
        <v/>
      </c>
      <c r="I17" s="12" t="n">
        <v>95</v>
      </c>
      <c r="J17" s="12">
        <f>IFERROR(I17*(1+$B$3),"")</f>
        <v/>
      </c>
      <c r="K17" s="12" t="n">
        <v>123.5</v>
      </c>
      <c r="L17" s="12">
        <f>IF(OR(K17="",I17=""),"",K17-J17)</f>
        <v/>
      </c>
      <c r="M17" s="11">
        <f>IF(ABS(K17-J17)&lt;0.005,"OK","Fora da regra")</f>
        <v/>
      </c>
    </row>
    <row r="18">
      <c r="A18" s="7" t="n">
        <v>12</v>
      </c>
      <c r="B18" s="8" t="inlineStr">
        <is>
          <t>AMERICANA</t>
        </is>
      </c>
      <c r="C18" s="9" t="inlineStr">
        <is>
          <t>Pizza Americana</t>
        </is>
      </c>
      <c r="D18" s="10" t="n">
        <v>57</v>
      </c>
      <c r="E18" s="10">
        <f>IFERROR(D18*(1+$B$3),"")</f>
        <v/>
      </c>
      <c r="F18" s="10" t="n">
        <v>74.09999999999999</v>
      </c>
      <c r="G18" s="10">
        <f>IF(OR(F18="",D18=""),"",F18-E18)</f>
        <v/>
      </c>
      <c r="H18" s="11">
        <f>IF(ABS(F18-E18)&lt;0.005,"OK","Fora da regra")</f>
        <v/>
      </c>
      <c r="I18" s="12" t="n">
        <v>91</v>
      </c>
      <c r="J18" s="12">
        <f>IFERROR(I18*(1+$B$3),"")</f>
        <v/>
      </c>
      <c r="K18" s="12" t="n">
        <v>118.3</v>
      </c>
      <c r="L18" s="12">
        <f>IF(OR(K18="",I18=""),"",K18-J18)</f>
        <v/>
      </c>
      <c r="M18" s="11">
        <f>IF(ABS(K18-J18)&lt;0.005,"OK","Fora da regra")</f>
        <v/>
      </c>
    </row>
    <row r="19">
      <c r="A19" s="7" t="n">
        <v>13</v>
      </c>
      <c r="B19" s="8" t="inlineStr">
        <is>
          <t>ARTES DA PIZZA</t>
        </is>
      </c>
      <c r="C19" s="9" t="inlineStr">
        <is>
          <t>Pizza Artes Da Pizza</t>
        </is>
      </c>
      <c r="D19" s="10" t="n">
        <v>48</v>
      </c>
      <c r="E19" s="10">
        <f>IFERROR(D19*(1+$B$3),"")</f>
        <v/>
      </c>
      <c r="F19" s="10" t="n">
        <v>62.4</v>
      </c>
      <c r="G19" s="10">
        <f>IF(OR(F19="",D19=""),"",F19-E19)</f>
        <v/>
      </c>
      <c r="H19" s="11">
        <f>IF(ABS(F19-E19)&lt;0.005,"OK","Fora da regra")</f>
        <v/>
      </c>
      <c r="I19" s="12" t="n">
        <v>78</v>
      </c>
      <c r="J19" s="12">
        <f>IFERROR(I19*(1+$B$3),"")</f>
        <v/>
      </c>
      <c r="K19" s="12" t="n">
        <v>101.4</v>
      </c>
      <c r="L19" s="12">
        <f>IF(OR(K19="",I19=""),"",K19-J19)</f>
        <v/>
      </c>
      <c r="M19" s="11">
        <f>IF(ABS(K19-J19)&lt;0.005,"OK","Fora da regra")</f>
        <v/>
      </c>
    </row>
    <row r="20">
      <c r="A20" s="7" t="n">
        <v>14</v>
      </c>
      <c r="B20" s="8" t="inlineStr">
        <is>
          <t>ATUM</t>
        </is>
      </c>
      <c r="C20" s="9" t="inlineStr">
        <is>
          <t>Pizza Atum</t>
        </is>
      </c>
      <c r="D20" s="10" t="n">
        <v>43</v>
      </c>
      <c r="E20" s="10">
        <f>IFERROR(D20*(1+$B$3),"")</f>
        <v/>
      </c>
      <c r="F20" s="10" t="n">
        <v>55.9</v>
      </c>
      <c r="G20" s="10">
        <f>IF(OR(F20="",D20=""),"",F20-E20)</f>
        <v/>
      </c>
      <c r="H20" s="11">
        <f>IF(ABS(F20-E20)&lt;0.005,"OK","Fora da regra")</f>
        <v/>
      </c>
      <c r="I20" s="12" t="n">
        <v>69</v>
      </c>
      <c r="J20" s="12">
        <f>IFERROR(I20*(1+$B$3),"")</f>
        <v/>
      </c>
      <c r="K20" s="12" t="n">
        <v>89.7</v>
      </c>
      <c r="L20" s="12">
        <f>IF(OR(K20="",I20=""),"",K20-J20)</f>
        <v/>
      </c>
      <c r="M20" s="11">
        <f>IF(ABS(K20-J20)&lt;0.005,"OK","Fora da regra")</f>
        <v/>
      </c>
    </row>
    <row r="21">
      <c r="A21" s="7" t="n">
        <v>15</v>
      </c>
      <c r="B21" s="8" t="inlineStr">
        <is>
          <t>ATUM ESPECIAL</t>
        </is>
      </c>
      <c r="C21" s="9" t="inlineStr">
        <is>
          <t>Atum Especial</t>
        </is>
      </c>
      <c r="D21" s="10" t="n">
        <v>55</v>
      </c>
      <c r="E21" s="10">
        <f>IFERROR(D21*(1+$B$3),"")</f>
        <v/>
      </c>
      <c r="F21" s="10" t="n">
        <v>71.5</v>
      </c>
      <c r="G21" s="10">
        <f>IF(OR(F21="",D21=""),"",F21-E21)</f>
        <v/>
      </c>
      <c r="H21" s="11">
        <f>IF(ABS(F21-E21)&lt;0.005,"OK","Fora da regra")</f>
        <v/>
      </c>
      <c r="I21" s="12" t="n">
        <v>88</v>
      </c>
      <c r="J21" s="12">
        <f>IFERROR(I21*(1+$B$3),"")</f>
        <v/>
      </c>
      <c r="K21" s="12" t="n">
        <v>114.4</v>
      </c>
      <c r="L21" s="12">
        <f>IF(OR(K21="",I21=""),"",K21-J21)</f>
        <v/>
      </c>
      <c r="M21" s="11">
        <f>IF(ABS(K21-J21)&lt;0.005,"OK","Fora da regra")</f>
        <v/>
      </c>
    </row>
    <row r="22">
      <c r="A22" s="7" t="n">
        <v>16</v>
      </c>
      <c r="B22" s="8" t="inlineStr">
        <is>
          <t>BACON</t>
        </is>
      </c>
      <c r="C22" s="9" t="inlineStr">
        <is>
          <t>Pizza Bacon</t>
        </is>
      </c>
      <c r="D22" s="10" t="n">
        <v>48</v>
      </c>
      <c r="E22" s="10">
        <f>IFERROR(D22*(1+$B$3),"")</f>
        <v/>
      </c>
      <c r="F22" s="10" t="n">
        <v>62.4</v>
      </c>
      <c r="G22" s="10">
        <f>IF(OR(F22="",D22=""),"",F22-E22)</f>
        <v/>
      </c>
      <c r="H22" s="11">
        <f>IF(ABS(F22-E22)&lt;0.005,"OK","Fora da regra")</f>
        <v/>
      </c>
      <c r="I22" s="12" t="n">
        <v>78</v>
      </c>
      <c r="J22" s="12">
        <f>IFERROR(I22*(1+$B$3),"")</f>
        <v/>
      </c>
      <c r="K22" s="12" t="n">
        <v>101.4</v>
      </c>
      <c r="L22" s="12">
        <f>IF(OR(K22="",I22=""),"",K22-J22)</f>
        <v/>
      </c>
      <c r="M22" s="11">
        <f>IF(ABS(K22-J22)&lt;0.005,"OK","Fora da regra")</f>
        <v/>
      </c>
    </row>
    <row r="23">
      <c r="A23" s="7" t="n">
        <v>17</v>
      </c>
      <c r="B23" s="8" t="inlineStr">
        <is>
          <t>BAIANA</t>
        </is>
      </c>
      <c r="C23" s="9" t="inlineStr">
        <is>
          <t>Pizza Baiana</t>
        </is>
      </c>
      <c r="D23" s="10" t="n">
        <v>45</v>
      </c>
      <c r="E23" s="10">
        <f>IFERROR(D23*(1+$B$3),"")</f>
        <v/>
      </c>
      <c r="F23" s="10" t="n">
        <v>58.5</v>
      </c>
      <c r="G23" s="10">
        <f>IF(OR(F23="",D23=""),"",F23-E23)</f>
        <v/>
      </c>
      <c r="H23" s="11">
        <f>IF(ABS(F23-E23)&lt;0.005,"OK","Fora da regra")</f>
        <v/>
      </c>
      <c r="I23" s="12" t="n">
        <v>72</v>
      </c>
      <c r="J23" s="12">
        <f>IFERROR(I23*(1+$B$3),"")</f>
        <v/>
      </c>
      <c r="K23" s="12" t="n">
        <v>93.59999999999999</v>
      </c>
      <c r="L23" s="12">
        <f>IF(OR(K23="",I23=""),"",K23-J23)</f>
        <v/>
      </c>
      <c r="M23" s="11">
        <f>IF(ABS(K23-J23)&lt;0.005,"OK","Fora da regra")</f>
        <v/>
      </c>
    </row>
    <row r="24">
      <c r="A24" s="7" t="n">
        <v>18</v>
      </c>
      <c r="B24" s="8" t="inlineStr">
        <is>
          <t>BERINJELA</t>
        </is>
      </c>
      <c r="C24" s="9" t="inlineStr">
        <is>
          <t>Pizza Berinjela</t>
        </is>
      </c>
      <c r="D24" s="10" t="n">
        <v>45</v>
      </c>
      <c r="E24" s="10">
        <f>IFERROR(D24*(1+$B$3),"")</f>
        <v/>
      </c>
      <c r="F24" s="10" t="n">
        <v>58.5</v>
      </c>
      <c r="G24" s="10">
        <f>IF(OR(F24="",D24=""),"",F24-E24)</f>
        <v/>
      </c>
      <c r="H24" s="11">
        <f>IF(ABS(F24-E24)&lt;0.005,"OK","Fora da regra")</f>
        <v/>
      </c>
      <c r="I24" s="12" t="n">
        <v>72</v>
      </c>
      <c r="J24" s="12">
        <f>IFERROR(I24*(1+$B$3),"")</f>
        <v/>
      </c>
      <c r="K24" s="12" t="n">
        <v>93.59999999999999</v>
      </c>
      <c r="L24" s="12">
        <f>IF(OR(K24="",I24=""),"",K24-J24)</f>
        <v/>
      </c>
      <c r="M24" s="11">
        <f>IF(ABS(K24-J24)&lt;0.005,"OK","Fora da regra")</f>
        <v/>
      </c>
    </row>
    <row r="25">
      <c r="A25" s="7" t="n">
        <v>19</v>
      </c>
      <c r="B25" s="8" t="inlineStr">
        <is>
          <t>BRÓCOLIS</t>
        </is>
      </c>
      <c r="C25" s="9" t="inlineStr">
        <is>
          <t>Pizza Brócolis</t>
        </is>
      </c>
      <c r="D25" s="10" t="n">
        <v>45</v>
      </c>
      <c r="E25" s="10">
        <f>IFERROR(D25*(1+$B$3),"")</f>
        <v/>
      </c>
      <c r="F25" s="10" t="n">
        <v>58.5</v>
      </c>
      <c r="G25" s="10">
        <f>IF(OR(F25="",D25=""),"",F25-E25)</f>
        <v/>
      </c>
      <c r="H25" s="11">
        <f>IF(ABS(F25-E25)&lt;0.005,"OK","Fora da regra")</f>
        <v/>
      </c>
      <c r="I25" s="12" t="n">
        <v>72</v>
      </c>
      <c r="J25" s="12">
        <f>IFERROR(I25*(1+$B$3),"")</f>
        <v/>
      </c>
      <c r="K25" s="12" t="n">
        <v>93.59999999999999</v>
      </c>
      <c r="L25" s="12">
        <f>IF(OR(K25="",I25=""),"",K25-J25)</f>
        <v/>
      </c>
      <c r="M25" s="11">
        <f>IF(ABS(K25-J25)&lt;0.005,"OK","Fora da regra")</f>
        <v/>
      </c>
    </row>
    <row r="26">
      <c r="A26" s="7" t="n">
        <v>20</v>
      </c>
      <c r="B26" s="8" t="inlineStr">
        <is>
          <t>BROCOLIS II</t>
        </is>
      </c>
      <c r="C26" s="9" t="inlineStr">
        <is>
          <t>Pizza Brócolis 2</t>
        </is>
      </c>
      <c r="D26" s="10" t="n">
        <v>52</v>
      </c>
      <c r="E26" s="10">
        <f>IFERROR(D26*(1+$B$3),"")</f>
        <v/>
      </c>
      <c r="F26" s="10" t="n">
        <v>67.59999999999999</v>
      </c>
      <c r="G26" s="10">
        <f>IF(OR(F26="",D26=""),"",F26-E26)</f>
        <v/>
      </c>
      <c r="H26" s="11">
        <f>IF(ABS(F26-E26)&lt;0.005,"OK","Fora da regra")</f>
        <v/>
      </c>
      <c r="I26" s="12" t="n">
        <v>84</v>
      </c>
      <c r="J26" s="12">
        <f>IFERROR(I26*(1+$B$3),"")</f>
        <v/>
      </c>
      <c r="K26" s="12" t="n">
        <v>109.2</v>
      </c>
      <c r="L26" s="12">
        <f>IF(OR(K26="",I26=""),"",K26-J26)</f>
        <v/>
      </c>
      <c r="M26" s="11">
        <f>IF(ABS(K26-J26)&lt;0.005,"OK","Fora da regra")</f>
        <v/>
      </c>
    </row>
    <row r="27">
      <c r="A27" s="7" t="n">
        <v>21</v>
      </c>
      <c r="B27" s="8" t="inlineStr">
        <is>
          <t>BRÓCOLIS III</t>
        </is>
      </c>
      <c r="C27" s="9" t="inlineStr">
        <is>
          <t>Pizza Brócolis 3</t>
        </is>
      </c>
      <c r="D27" s="10" t="n">
        <v>52</v>
      </c>
      <c r="E27" s="10">
        <f>IFERROR(D27*(1+$B$3),"")</f>
        <v/>
      </c>
      <c r="F27" s="10" t="n">
        <v>67.59999999999999</v>
      </c>
      <c r="G27" s="10">
        <f>IF(OR(F27="",D27=""),"",F27-E27)</f>
        <v/>
      </c>
      <c r="H27" s="11">
        <f>IF(ABS(F27-E27)&lt;0.005,"OK","Fora da regra")</f>
        <v/>
      </c>
      <c r="I27" s="12" t="n">
        <v>84</v>
      </c>
      <c r="J27" s="12">
        <f>IFERROR(I27*(1+$B$3),"")</f>
        <v/>
      </c>
      <c r="K27" s="12" t="n">
        <v>109.2</v>
      </c>
      <c r="L27" s="12">
        <f>IF(OR(K27="",I27=""),"",K27-J27)</f>
        <v/>
      </c>
      <c r="M27" s="11">
        <f>IF(ABS(K27-J27)&lt;0.005,"OK","Fora da regra")</f>
        <v/>
      </c>
    </row>
    <row r="28">
      <c r="A28" s="7" t="n">
        <v>22</v>
      </c>
      <c r="B28" s="8" t="inlineStr">
        <is>
          <t>BÚFALA</t>
        </is>
      </c>
      <c r="C28" s="9" t="inlineStr">
        <is>
          <t>Pizza Búfala</t>
        </is>
      </c>
      <c r="D28" s="10" t="n">
        <v>46</v>
      </c>
      <c r="E28" s="10">
        <f>IFERROR(D28*(1+$B$3),"")</f>
        <v/>
      </c>
      <c r="F28" s="10" t="n">
        <v>59.8</v>
      </c>
      <c r="G28" s="10">
        <f>IF(OR(F28="",D28=""),"",F28-E28)</f>
        <v/>
      </c>
      <c r="H28" s="11">
        <f>IF(ABS(F28-E28)&lt;0.005,"OK","Fora da regra")</f>
        <v/>
      </c>
      <c r="I28" s="12" t="n">
        <v>75</v>
      </c>
      <c r="J28" s="12">
        <f>IFERROR(I28*(1+$B$3),"")</f>
        <v/>
      </c>
      <c r="K28" s="12" t="n">
        <v>97.5</v>
      </c>
      <c r="L28" s="12">
        <f>IF(OR(K28="",I28=""),"",K28-J28)</f>
        <v/>
      </c>
      <c r="M28" s="11">
        <f>IF(ABS(K28-J28)&lt;0.005,"OK","Fora da regra")</f>
        <v/>
      </c>
    </row>
    <row r="29">
      <c r="A29" s="7" t="n">
        <v>23</v>
      </c>
      <c r="B29" s="8" t="inlineStr">
        <is>
          <t>CAIPIRA</t>
        </is>
      </c>
      <c r="C29" s="9" t="inlineStr">
        <is>
          <t>Pizza Caipira</t>
        </is>
      </c>
      <c r="D29" s="10" t="n">
        <v>52</v>
      </c>
      <c r="E29" s="10">
        <f>IFERROR(D29*(1+$B$3),"")</f>
        <v/>
      </c>
      <c r="F29" s="10" t="n">
        <v>67.59999999999999</v>
      </c>
      <c r="G29" s="10">
        <f>IF(OR(F29="",D29=""),"",F29-E29)</f>
        <v/>
      </c>
      <c r="H29" s="11">
        <f>IF(ABS(F29-E29)&lt;0.005,"OK","Fora da regra")</f>
        <v/>
      </c>
      <c r="I29" s="12" t="n">
        <v>83</v>
      </c>
      <c r="J29" s="12">
        <f>IFERROR(I29*(1+$B$3),"")</f>
        <v/>
      </c>
      <c r="K29" s="12" t="n">
        <v>107.9</v>
      </c>
      <c r="L29" s="12">
        <f>IF(OR(K29="",I29=""),"",K29-J29)</f>
        <v/>
      </c>
      <c r="M29" s="11">
        <f>IF(ABS(K29-J29)&lt;0.005,"OK","Fora da regra")</f>
        <v/>
      </c>
    </row>
    <row r="30">
      <c r="A30" s="7" t="n">
        <v>24</v>
      </c>
      <c r="B30" s="8" t="inlineStr">
        <is>
          <t>CALABRESA</t>
        </is>
      </c>
      <c r="C30" s="9" t="inlineStr">
        <is>
          <t>Pizza Calabresa</t>
        </is>
      </c>
      <c r="D30" s="10" t="n">
        <v>43</v>
      </c>
      <c r="E30" s="10">
        <f>IFERROR(D30*(1+$B$3),"")</f>
        <v/>
      </c>
      <c r="F30" s="10" t="n">
        <v>55.9</v>
      </c>
      <c r="G30" s="10">
        <f>IF(OR(F30="",D30=""),"",F30-E30)</f>
        <v/>
      </c>
      <c r="H30" s="11">
        <f>IF(ABS(F30-E30)&lt;0.005,"OK","Fora da regra")</f>
        <v/>
      </c>
      <c r="I30" s="12" t="n">
        <v>69</v>
      </c>
      <c r="J30" s="12">
        <f>IFERROR(I30*(1+$B$3),"")</f>
        <v/>
      </c>
      <c r="K30" s="12" t="n">
        <v>89.7</v>
      </c>
      <c r="L30" s="12">
        <f>IF(OR(K30="",I30=""),"",K30-J30)</f>
        <v/>
      </c>
      <c r="M30" s="11">
        <f>IF(ABS(K30-J30)&lt;0.005,"OK","Fora da regra")</f>
        <v/>
      </c>
    </row>
    <row r="31">
      <c r="A31" s="7" t="n">
        <v>25</v>
      </c>
      <c r="B31" s="8" t="inlineStr">
        <is>
          <t>CALACATÚ</t>
        </is>
      </c>
      <c r="C31" s="9" t="inlineStr">
        <is>
          <t>Pizza Calacatu</t>
        </is>
      </c>
      <c r="D31" s="10" t="n">
        <v>52</v>
      </c>
      <c r="E31" s="10">
        <f>IFERROR(D31*(1+$B$3),"")</f>
        <v/>
      </c>
      <c r="F31" s="10" t="n">
        <v>67.59999999999999</v>
      </c>
      <c r="G31" s="10">
        <f>IF(OR(F31="",D31=""),"",F31-E31)</f>
        <v/>
      </c>
      <c r="H31" s="11">
        <f>IF(ABS(F31-E31)&lt;0.005,"OK","Fora da regra")</f>
        <v/>
      </c>
      <c r="I31" s="12" t="n">
        <v>83</v>
      </c>
      <c r="J31" s="12">
        <f>IFERROR(I31*(1+$B$3),"")</f>
        <v/>
      </c>
      <c r="K31" s="12" t="n">
        <v>107.9</v>
      </c>
      <c r="L31" s="12">
        <f>IF(OR(K31="",I31=""),"",K31-J31)</f>
        <v/>
      </c>
      <c r="M31" s="11">
        <f>IF(ABS(K31-J31)&lt;0.005,"OK","Fora da regra")</f>
        <v/>
      </c>
    </row>
    <row r="32">
      <c r="A32" s="7" t="n">
        <v>26</v>
      </c>
      <c r="B32" s="8" t="inlineStr">
        <is>
          <t>CAMARÃO</t>
        </is>
      </c>
      <c r="C32" s="9" t="inlineStr">
        <is>
          <t>Pizza  Camarão</t>
        </is>
      </c>
      <c r="D32" s="10" t="n">
        <v>84</v>
      </c>
      <c r="E32" s="10">
        <f>IFERROR(D32*(1+$B$3),"")</f>
        <v/>
      </c>
      <c r="F32" s="10" t="n">
        <v>109.2</v>
      </c>
      <c r="G32" s="10">
        <f>IF(OR(F32="",D32=""),"",F32-E32)</f>
        <v/>
      </c>
      <c r="H32" s="11">
        <f>IF(ABS(F32-E32)&lt;0.005,"OK","Fora da regra")</f>
        <v/>
      </c>
      <c r="I32" s="12" t="n">
        <v>130</v>
      </c>
      <c r="J32" s="12">
        <f>IFERROR(I32*(1+$B$3),"")</f>
        <v/>
      </c>
      <c r="K32" s="12" t="n">
        <v>169.9</v>
      </c>
      <c r="L32" s="12">
        <f>IF(OR(K32="",I32=""),"",K32-J32)</f>
        <v/>
      </c>
      <c r="M32" s="11">
        <f>IF(ABS(K32-J32)&lt;0.005,"OK","Fora da regra")</f>
        <v/>
      </c>
    </row>
    <row r="33">
      <c r="A33" s="7" t="n">
        <v>27</v>
      </c>
      <c r="B33" s="8" t="inlineStr">
        <is>
          <t>CAPRICHOSA</t>
        </is>
      </c>
      <c r="C33" s="9" t="inlineStr">
        <is>
          <t>Pizza Caprichosa</t>
        </is>
      </c>
      <c r="D33" s="10" t="n">
        <v>55</v>
      </c>
      <c r="E33" s="10">
        <f>IFERROR(D33*(1+$B$3),"")</f>
        <v/>
      </c>
      <c r="F33" s="10" t="n">
        <v>71.5</v>
      </c>
      <c r="G33" s="10">
        <f>IF(OR(F33="",D33=""),"",F33-E33)</f>
        <v/>
      </c>
      <c r="H33" s="11">
        <f>IF(ABS(F33-E33)&lt;0.005,"OK","Fora da regra")</f>
        <v/>
      </c>
      <c r="I33" s="12" t="n">
        <v>89</v>
      </c>
      <c r="J33" s="12">
        <f>IFERROR(I33*(1+$B$3),"")</f>
        <v/>
      </c>
      <c r="K33" s="12" t="n">
        <v>115.7</v>
      </c>
      <c r="L33" s="12">
        <f>IF(OR(K33="",I33=""),"",K33-J33)</f>
        <v/>
      </c>
      <c r="M33" s="11">
        <f>IF(ABS(K33-J33)&lt;0.005,"OK","Fora da regra")</f>
        <v/>
      </c>
    </row>
    <row r="34">
      <c r="A34" s="7" t="n">
        <v>28</v>
      </c>
      <c r="B34" s="8" t="inlineStr">
        <is>
          <t>CARNE SECA</t>
        </is>
      </c>
      <c r="C34" s="9" t="inlineStr">
        <is>
          <t>Pizza Carne Seca</t>
        </is>
      </c>
      <c r="D34" s="10" t="n">
        <v>62</v>
      </c>
      <c r="E34" s="10">
        <f>IFERROR(D34*(1+$B$3),"")</f>
        <v/>
      </c>
      <c r="F34" s="10" t="n">
        <v>80.59999999999999</v>
      </c>
      <c r="G34" s="10">
        <f>IF(OR(F34="",D34=""),"",F34-E34)</f>
        <v/>
      </c>
      <c r="H34" s="11">
        <f>IF(ABS(F34-E34)&lt;0.005,"OK","Fora da regra")</f>
        <v/>
      </c>
      <c r="I34" s="12" t="n">
        <v>99</v>
      </c>
      <c r="J34" s="12">
        <f>IFERROR(I34*(1+$B$3),"")</f>
        <v/>
      </c>
      <c r="K34" s="12" t="n">
        <v>128.7</v>
      </c>
      <c r="L34" s="12">
        <f>IF(OR(K34="",I34=""),"",K34-J34)</f>
        <v/>
      </c>
      <c r="M34" s="11">
        <f>IF(ABS(K34-J34)&lt;0.005,"OK","Fora da regra")</f>
        <v/>
      </c>
    </row>
    <row r="35">
      <c r="A35" s="7" t="n">
        <v>29</v>
      </c>
      <c r="B35" s="8" t="inlineStr">
        <is>
          <t>CATUPIRY</t>
        </is>
      </c>
      <c r="C35" s="9" t="inlineStr">
        <is>
          <t>Pizza Catupiry</t>
        </is>
      </c>
      <c r="D35" s="10" t="n">
        <v>45</v>
      </c>
      <c r="E35" s="10">
        <f>IFERROR(D35*(1+$B$3),"")</f>
        <v/>
      </c>
      <c r="F35" s="10" t="n">
        <v>58.5</v>
      </c>
      <c r="G35" s="10">
        <f>IF(OR(F35="",D35=""),"",F35-E35)</f>
        <v/>
      </c>
      <c r="H35" s="11">
        <f>IF(ABS(F35-E35)&lt;0.005,"OK","Fora da regra")</f>
        <v/>
      </c>
      <c r="I35" s="12" t="n">
        <v>70</v>
      </c>
      <c r="J35" s="12">
        <f>IFERROR(I35*(1+$B$3),"")</f>
        <v/>
      </c>
      <c r="K35" s="12" t="n">
        <v>91</v>
      </c>
      <c r="L35" s="12">
        <f>IF(OR(K35="",I35=""),"",K35-J35)</f>
        <v/>
      </c>
      <c r="M35" s="11">
        <f>IF(ABS(K35-J35)&lt;0.005,"OK","Fora da regra")</f>
        <v/>
      </c>
    </row>
    <row r="36">
      <c r="A36" s="7" t="n">
        <v>30</v>
      </c>
      <c r="B36" s="8" t="inlineStr">
        <is>
          <t>CLASSE ESPECIAL</t>
        </is>
      </c>
      <c r="C36" s="9" t="inlineStr">
        <is>
          <t>Pizza Classe Especial</t>
        </is>
      </c>
      <c r="D36" s="10" t="n">
        <v>45</v>
      </c>
      <c r="E36" s="10">
        <f>IFERROR(D36*(1+$B$3),"")</f>
        <v/>
      </c>
      <c r="F36" s="10" t="n">
        <v>58.5</v>
      </c>
      <c r="G36" s="10">
        <f>IF(OR(F36="",D36=""),"",F36-E36)</f>
        <v/>
      </c>
      <c r="H36" s="11">
        <f>IF(ABS(F36-E36)&lt;0.005,"OK","Fora da regra")</f>
        <v/>
      </c>
      <c r="I36" s="12" t="n">
        <v>70</v>
      </c>
      <c r="J36" s="12">
        <f>IFERROR(I36*(1+$B$3),"")</f>
        <v/>
      </c>
      <c r="K36" s="12" t="n">
        <v>91</v>
      </c>
      <c r="L36" s="12">
        <f>IF(OR(K36="",I36=""),"",K36-J36)</f>
        <v/>
      </c>
      <c r="M36" s="11">
        <f>IF(ABS(K36-J36)&lt;0.005,"OK","Fora da regra")</f>
        <v/>
      </c>
    </row>
    <row r="37">
      <c r="A37" s="7" t="n">
        <v>31</v>
      </c>
      <c r="B37" s="8" t="inlineStr">
        <is>
          <t>DO PIZZAIOLO</t>
        </is>
      </c>
      <c r="C37" s="9" t="inlineStr">
        <is>
          <t>Pizza Do Pizzaiolo</t>
        </is>
      </c>
      <c r="D37" s="10" t="n">
        <v>51</v>
      </c>
      <c r="E37" s="10">
        <f>IFERROR(D37*(1+$B$3),"")</f>
        <v/>
      </c>
      <c r="F37" s="10" t="n">
        <v>66.3</v>
      </c>
      <c r="G37" s="10">
        <f>IF(OR(F37="",D37=""),"",F37-E37)</f>
        <v/>
      </c>
      <c r="H37" s="11">
        <f>IF(ABS(F37-E37)&lt;0.005,"OK","Fora da regra")</f>
        <v/>
      </c>
      <c r="I37" s="12" t="n">
        <v>82</v>
      </c>
      <c r="J37" s="12">
        <f>IFERROR(I37*(1+$B$3),"")</f>
        <v/>
      </c>
      <c r="K37" s="12" t="n">
        <v>106.6</v>
      </c>
      <c r="L37" s="12">
        <f>IF(OR(K37="",I37=""),"",K37-J37)</f>
        <v/>
      </c>
      <c r="M37" s="11">
        <f>IF(ABS(K37-J37)&lt;0.005,"OK","Fora da regra")</f>
        <v/>
      </c>
    </row>
    <row r="38">
      <c r="A38" s="7" t="n">
        <v>32</v>
      </c>
      <c r="B38" s="8" t="inlineStr">
        <is>
          <t>ESCAROLA</t>
        </is>
      </c>
      <c r="C38" s="9" t="inlineStr">
        <is>
          <t>Pizza Escarola</t>
        </is>
      </c>
      <c r="D38" s="10" t="n">
        <v>45</v>
      </c>
      <c r="E38" s="10">
        <f>IFERROR(D38*(1+$B$3),"")</f>
        <v/>
      </c>
      <c r="F38" s="10" t="n">
        <v>58.5</v>
      </c>
      <c r="G38" s="10">
        <f>IF(OR(F38="",D38=""),"",F38-E38)</f>
        <v/>
      </c>
      <c r="H38" s="11">
        <f>IF(ABS(F38-E38)&lt;0.005,"OK","Fora da regra")</f>
        <v/>
      </c>
      <c r="I38" s="12" t="n">
        <v>70</v>
      </c>
      <c r="J38" s="12">
        <f>IFERROR(I38*(1+$B$3),"")</f>
        <v/>
      </c>
      <c r="K38" s="12" t="n">
        <v>91</v>
      </c>
      <c r="L38" s="12">
        <f>IF(OR(K38="",I38=""),"",K38-J38)</f>
        <v/>
      </c>
      <c r="M38" s="11">
        <f>IF(ABS(K38-J38)&lt;0.005,"OK","Fora da regra")</f>
        <v/>
      </c>
    </row>
    <row r="39">
      <c r="A39" s="7" t="n">
        <v>33</v>
      </c>
      <c r="B39" s="8" t="inlineStr">
        <is>
          <t>ESCAROLA ESPECIAL</t>
        </is>
      </c>
      <c r="C39" s="9" t="inlineStr">
        <is>
          <t>Pizza Escarola Especial</t>
        </is>
      </c>
      <c r="D39" s="10" t="n">
        <v>51</v>
      </c>
      <c r="E39" s="10">
        <f>IFERROR(D39*(1+$B$3),"")</f>
        <v/>
      </c>
      <c r="F39" s="10" t="n">
        <v>66.3</v>
      </c>
      <c r="G39" s="10">
        <f>IF(OR(F39="",D39=""),"",F39-E39)</f>
        <v/>
      </c>
      <c r="H39" s="11">
        <f>IF(ABS(F39-E39)&lt;0.005,"OK","Fora da regra")</f>
        <v/>
      </c>
      <c r="I39" s="12" t="n">
        <v>82</v>
      </c>
      <c r="J39" s="12">
        <f>IFERROR(I39*(1+$B$3),"")</f>
        <v/>
      </c>
      <c r="K39" s="12" t="n">
        <v>106.6</v>
      </c>
      <c r="L39" s="12">
        <f>IF(OR(K39="",I39=""),"",K39-J39)</f>
        <v/>
      </c>
      <c r="M39" s="11">
        <f>IF(ABS(K39-J39)&lt;0.005,"OK","Fora da regra")</f>
        <v/>
      </c>
    </row>
    <row r="40">
      <c r="A40" s="7" t="n">
        <v>34</v>
      </c>
      <c r="B40" s="8" t="inlineStr">
        <is>
          <t>ESPANHOLA</t>
        </is>
      </c>
      <c r="C40" s="9" t="inlineStr">
        <is>
          <t>Pizza Espanhola</t>
        </is>
      </c>
      <c r="D40" s="10" t="n">
        <v>62</v>
      </c>
      <c r="E40" s="10">
        <f>IFERROR(D40*(1+$B$3),"")</f>
        <v/>
      </c>
      <c r="F40" s="10" t="n">
        <v>80.59999999999999</v>
      </c>
      <c r="G40" s="10">
        <f>IF(OR(F40="",D40=""),"",F40-E40)</f>
        <v/>
      </c>
      <c r="H40" s="11">
        <f>IF(ABS(F40-E40)&lt;0.005,"OK","Fora da regra")</f>
        <v/>
      </c>
      <c r="I40" s="12" t="n">
        <v>99</v>
      </c>
      <c r="J40" s="12">
        <f>IFERROR(I40*(1+$B$3),"")</f>
        <v/>
      </c>
      <c r="K40" s="12" t="n">
        <v>128.7</v>
      </c>
      <c r="L40" s="12">
        <f>IF(OR(K40="",I40=""),"",K40-J40)</f>
        <v/>
      </c>
      <c r="M40" s="11">
        <f>IF(ABS(K40-J40)&lt;0.005,"OK","Fora da regra")</f>
        <v/>
      </c>
    </row>
    <row r="41">
      <c r="A41" s="7" t="n">
        <v>35</v>
      </c>
      <c r="B41" s="8" t="inlineStr">
        <is>
          <t>ESPECIAL</t>
        </is>
      </c>
      <c r="C41" s="9" t="inlineStr">
        <is>
          <t>Pizza Classic  (confirmar)</t>
        </is>
      </c>
      <c r="D41" s="10" t="n">
        <v>62</v>
      </c>
      <c r="E41" s="10">
        <f>IFERROR(D41*(1+$B$3),"")</f>
        <v/>
      </c>
      <c r="F41" s="10" t="n">
        <v>80.59999999999999</v>
      </c>
      <c r="G41" s="10">
        <f>IF(OR(F41="",D41=""),"",F41-E41)</f>
        <v/>
      </c>
      <c r="H41" s="11">
        <f>IF(ABS(F41-E41)&lt;0.005,"OK","Fora da regra")</f>
        <v/>
      </c>
      <c r="I41" s="12" t="n">
        <v>99</v>
      </c>
      <c r="J41" s="12">
        <f>IFERROR(I41*(1+$B$3),"")</f>
        <v/>
      </c>
      <c r="K41" s="12" t="n">
        <v>128.7</v>
      </c>
      <c r="L41" s="12">
        <f>IF(OR(K41="",I41=""),"",K41-J41)</f>
        <v/>
      </c>
      <c r="M41" s="11">
        <f>IF(ABS(K41-J41)&lt;0.005,"OK","Fora da regra")</f>
        <v/>
      </c>
    </row>
    <row r="42">
      <c r="A42" s="7" t="n">
        <v>36</v>
      </c>
      <c r="B42" s="8" t="inlineStr">
        <is>
          <t>EXECUTIVA</t>
        </is>
      </c>
      <c r="C42" s="9" t="inlineStr">
        <is>
          <t>Pizza Executiva</t>
        </is>
      </c>
      <c r="D42" s="10" t="n">
        <v>46</v>
      </c>
      <c r="E42" s="10">
        <f>IFERROR(D42*(1+$B$3),"")</f>
        <v/>
      </c>
      <c r="F42" s="10" t="n">
        <v>59.8</v>
      </c>
      <c r="G42" s="10">
        <f>IF(OR(F42="",D42=""),"",F42-E42)</f>
        <v/>
      </c>
      <c r="H42" s="11">
        <f>IF(ABS(F42-E42)&lt;0.005,"OK","Fora da regra")</f>
        <v/>
      </c>
      <c r="I42" s="12" t="n">
        <v>75</v>
      </c>
      <c r="J42" s="12">
        <f>IFERROR(I42*(1+$B$3),"")</f>
        <v/>
      </c>
      <c r="K42" s="12" t="n">
        <v>97.5</v>
      </c>
      <c r="L42" s="12">
        <f>IF(OR(K42="",I42=""),"",K42-J42)</f>
        <v/>
      </c>
      <c r="M42" s="11">
        <f>IF(ABS(K42-J42)&lt;0.005,"OK","Fora da regra")</f>
        <v/>
      </c>
    </row>
    <row r="43">
      <c r="A43" s="7" t="n">
        <v>37</v>
      </c>
      <c r="B43" s="8" t="inlineStr">
        <is>
          <t>FAVORITA</t>
        </is>
      </c>
      <c r="C43" s="9" t="inlineStr">
        <is>
          <t>Pizza Favorita</t>
        </is>
      </c>
      <c r="D43" s="10" t="n">
        <v>46</v>
      </c>
      <c r="E43" s="10">
        <f>IFERROR(D43*(1+$B$3),"")</f>
        <v/>
      </c>
      <c r="F43" s="10" t="n">
        <v>59.8</v>
      </c>
      <c r="G43" s="10">
        <f>IF(OR(F43="",D43=""),"",F43-E43)</f>
        <v/>
      </c>
      <c r="H43" s="11">
        <f>IF(ABS(F43-E43)&lt;0.005,"OK","Fora da regra")</f>
        <v/>
      </c>
      <c r="I43" s="12" t="n">
        <v>75</v>
      </c>
      <c r="J43" s="12">
        <f>IFERROR(I43*(1+$B$3),"")</f>
        <v/>
      </c>
      <c r="K43" s="12" t="n">
        <v>97.5</v>
      </c>
      <c r="L43" s="12">
        <f>IF(OR(K43="",I43=""),"",K43-J43)</f>
        <v/>
      </c>
      <c r="M43" s="11">
        <f>IF(ABS(K43-J43)&lt;0.005,"OK","Fora da regra")</f>
        <v/>
      </c>
    </row>
    <row r="44">
      <c r="A44" s="7" t="n">
        <v>38</v>
      </c>
      <c r="B44" s="8" t="inlineStr">
        <is>
          <t>FILÉ MIGNON</t>
        </is>
      </c>
      <c r="C44" s="9" t="inlineStr">
        <is>
          <t>Pizza Filé Mignon</t>
        </is>
      </c>
      <c r="D44" s="10" t="n">
        <v>84</v>
      </c>
      <c r="E44" s="10">
        <f>IFERROR(D44*(1+$B$3),"")</f>
        <v/>
      </c>
      <c r="F44" s="10" t="n">
        <v>109.2</v>
      </c>
      <c r="G44" s="10">
        <f>IF(OR(F44="",D44=""),"",F44-E44)</f>
        <v/>
      </c>
      <c r="H44" s="11">
        <f>IF(ABS(F44-E44)&lt;0.005,"OK","Fora da regra")</f>
        <v/>
      </c>
      <c r="I44" s="12" t="n">
        <v>130</v>
      </c>
      <c r="J44" s="12">
        <f>IFERROR(I44*(1+$B$3),"")</f>
        <v/>
      </c>
      <c r="K44" s="12" t="n">
        <v>168.9</v>
      </c>
      <c r="L44" s="12">
        <f>IF(OR(K44="",I44=""),"",K44-J44)</f>
        <v/>
      </c>
      <c r="M44" s="11">
        <f>IF(ABS(K44-J44)&lt;0.005,"OK","Fora da regra")</f>
        <v/>
      </c>
    </row>
    <row r="45">
      <c r="A45" s="7" t="n">
        <v>39</v>
      </c>
      <c r="B45" s="8" t="inlineStr">
        <is>
          <t>FRANGO CATUPIRY</t>
        </is>
      </c>
      <c r="C45" s="9" t="inlineStr">
        <is>
          <t>Pizza Frango Catupiry</t>
        </is>
      </c>
      <c r="D45" s="10" t="n">
        <v>49</v>
      </c>
      <c r="E45" s="10">
        <f>IFERROR(D45*(1+$B$3),"")</f>
        <v/>
      </c>
      <c r="F45" s="10" t="n">
        <v>63.7</v>
      </c>
      <c r="G45" s="10">
        <f>IF(OR(F45="",D45=""),"",F45-E45)</f>
        <v/>
      </c>
      <c r="H45" s="11">
        <f>IF(ABS(F45-E45)&lt;0.005,"OK","Fora da regra")</f>
        <v/>
      </c>
      <c r="I45" s="12" t="n">
        <v>79</v>
      </c>
      <c r="J45" s="12">
        <f>IFERROR(I45*(1+$B$3),"")</f>
        <v/>
      </c>
      <c r="K45" s="12" t="n">
        <v>102.7</v>
      </c>
      <c r="L45" s="12">
        <f>IF(OR(K45="",I45=""),"",K45-J45)</f>
        <v/>
      </c>
      <c r="M45" s="11">
        <f>IF(ABS(K45-J45)&lt;0.005,"OK","Fora da regra")</f>
        <v/>
      </c>
    </row>
    <row r="46">
      <c r="A46" s="7" t="n">
        <v>40</v>
      </c>
      <c r="B46" s="8" t="inlineStr">
        <is>
          <t>FRANGO ESPECIAL</t>
        </is>
      </c>
      <c r="C46" s="9" t="inlineStr">
        <is>
          <t>Pizza Frango Especial</t>
        </is>
      </c>
      <c r="D46" s="10" t="n">
        <v>53</v>
      </c>
      <c r="E46" s="10">
        <f>IFERROR(D46*(1+$B$3),"")</f>
        <v/>
      </c>
      <c r="F46" s="10" t="n">
        <v>68.90000000000001</v>
      </c>
      <c r="G46" s="10">
        <f>IF(OR(F46="",D46=""),"",F46-E46)</f>
        <v/>
      </c>
      <c r="H46" s="11">
        <f>IF(ABS(F46-E46)&lt;0.005,"OK","Fora da regra")</f>
        <v/>
      </c>
      <c r="I46" s="12" t="n">
        <v>85</v>
      </c>
      <c r="J46" s="12">
        <f>IFERROR(I46*(1+$B$3),"")</f>
        <v/>
      </c>
      <c r="K46" s="12" t="n">
        <v>110.5</v>
      </c>
      <c r="L46" s="12">
        <f>IF(OR(K46="",I46=""),"",K46-J46)</f>
        <v/>
      </c>
      <c r="M46" s="11">
        <f>IF(ABS(K46-J46)&lt;0.005,"OK","Fora da regra")</f>
        <v/>
      </c>
    </row>
    <row r="47">
      <c r="A47" s="7" t="n">
        <v>41</v>
      </c>
      <c r="B47" s="8" t="inlineStr">
        <is>
          <t>JARDINEIRA</t>
        </is>
      </c>
      <c r="C47" s="9" t="inlineStr">
        <is>
          <t>Pizza Jardineira</t>
        </is>
      </c>
      <c r="D47" s="10" t="n">
        <v>46</v>
      </c>
      <c r="E47" s="10">
        <f>IFERROR(D47*(1+$B$3),"")</f>
        <v/>
      </c>
      <c r="F47" s="10" t="n">
        <v>59.8</v>
      </c>
      <c r="G47" s="10">
        <f>IF(OR(F47="",D47=""),"",F47-E47)</f>
        <v/>
      </c>
      <c r="H47" s="11">
        <f>IF(ABS(F47-E47)&lt;0.005,"OK","Fora da regra")</f>
        <v/>
      </c>
      <c r="I47" s="12" t="n">
        <v>75</v>
      </c>
      <c r="J47" s="12">
        <f>IFERROR(I47*(1+$B$3),"")</f>
        <v/>
      </c>
      <c r="K47" s="12" t="n">
        <v>97.5</v>
      </c>
      <c r="L47" s="12">
        <f>IF(OR(K47="",I47=""),"",K47-J47)</f>
        <v/>
      </c>
      <c r="M47" s="11">
        <f>IF(ABS(K47-J47)&lt;0.005,"OK","Fora da regra")</f>
        <v/>
      </c>
    </row>
    <row r="48">
      <c r="A48" s="7" t="n">
        <v>42</v>
      </c>
      <c r="B48" s="8" t="inlineStr">
        <is>
          <t>LIGHT</t>
        </is>
      </c>
      <c r="C48" s="9" t="inlineStr">
        <is>
          <t>Pizza Light</t>
        </is>
      </c>
      <c r="D48" s="10" t="n">
        <v>62</v>
      </c>
      <c r="E48" s="10">
        <f>IFERROR(D48*(1+$B$3),"")</f>
        <v/>
      </c>
      <c r="F48" s="10" t="n">
        <v>80.59999999999999</v>
      </c>
      <c r="G48" s="10">
        <f>IF(OR(F48="",D48=""),"",F48-E48)</f>
        <v/>
      </c>
      <c r="H48" s="11">
        <f>IF(ABS(F48-E48)&lt;0.005,"OK","Fora da regra")</f>
        <v/>
      </c>
      <c r="I48" s="12" t="n">
        <v>99</v>
      </c>
      <c r="J48" s="12">
        <f>IFERROR(I48*(1+$B$3),"")</f>
        <v/>
      </c>
      <c r="K48" s="12" t="n">
        <v>128.7</v>
      </c>
      <c r="L48" s="12">
        <f>IF(OR(K48="",I48=""),"",K48-J48)</f>
        <v/>
      </c>
      <c r="M48" s="11">
        <f>IF(ABS(K48-J48)&lt;0.005,"OK","Fora da regra")</f>
        <v/>
      </c>
    </row>
    <row r="49">
      <c r="A49" s="7" t="n">
        <v>43</v>
      </c>
      <c r="B49" s="8" t="inlineStr">
        <is>
          <t>LOMBO</t>
        </is>
      </c>
      <c r="C49" s="9" t="inlineStr">
        <is>
          <t>Pizza Lombo</t>
        </is>
      </c>
      <c r="D49" s="10" t="n">
        <v>43</v>
      </c>
      <c r="E49" s="10">
        <f>IFERROR(D49*(1+$B$3),"")</f>
        <v/>
      </c>
      <c r="F49" s="10" t="n">
        <v>55.9</v>
      </c>
      <c r="G49" s="10">
        <f>IF(OR(F49="",D49=""),"",F49-E49)</f>
        <v/>
      </c>
      <c r="H49" s="11">
        <f>IF(ABS(F49-E49)&lt;0.005,"OK","Fora da regra")</f>
        <v/>
      </c>
      <c r="I49" s="12" t="n">
        <v>69</v>
      </c>
      <c r="J49" s="12">
        <f>IFERROR(I49*(1+$B$3),"")</f>
        <v/>
      </c>
      <c r="K49" s="12" t="n">
        <v>89.7</v>
      </c>
      <c r="L49" s="12">
        <f>IF(OR(K49="",I49=""),"",K49-J49)</f>
        <v/>
      </c>
      <c r="M49" s="11">
        <f>IF(ABS(K49-J49)&lt;0.005,"OK","Fora da regra")</f>
        <v/>
      </c>
    </row>
    <row r="50">
      <c r="A50" s="7" t="n">
        <v>44</v>
      </c>
      <c r="B50" s="8" t="inlineStr">
        <is>
          <t>LOMBO II</t>
        </is>
      </c>
      <c r="C50" s="9" t="inlineStr">
        <is>
          <t>Pizza Lombo 2</t>
        </is>
      </c>
      <c r="D50" s="10" t="n">
        <v>52</v>
      </c>
      <c r="E50" s="10">
        <f>IFERROR(D50*(1+$B$3),"")</f>
        <v/>
      </c>
      <c r="F50" s="10" t="n">
        <v>67.59999999999999</v>
      </c>
      <c r="G50" s="10">
        <f>IF(OR(F50="",D50=""),"",F50-E50)</f>
        <v/>
      </c>
      <c r="H50" s="11">
        <f>IF(ABS(F50-E50)&lt;0.005,"OK","Fora da regra")</f>
        <v/>
      </c>
      <c r="I50" s="12" t="n">
        <v>84</v>
      </c>
      <c r="J50" s="12">
        <f>IFERROR(I50*(1+$B$3),"")</f>
        <v/>
      </c>
      <c r="K50" s="12" t="n">
        <v>109.2</v>
      </c>
      <c r="L50" s="12">
        <f>IF(OR(K50="",I50=""),"",K50-J50)</f>
        <v/>
      </c>
      <c r="M50" s="11">
        <f>IF(ABS(K50-J50)&lt;0.005,"OK","Fora da regra")</f>
        <v/>
      </c>
    </row>
    <row r="51">
      <c r="A51" s="7" t="n">
        <v>45</v>
      </c>
      <c r="B51" s="8" t="inlineStr">
        <is>
          <t>MARGUERITA</t>
        </is>
      </c>
      <c r="C51" s="9" t="inlineStr">
        <is>
          <t>Pizza Marguerita</t>
        </is>
      </c>
      <c r="D51" s="10" t="n">
        <v>46</v>
      </c>
      <c r="E51" s="10">
        <f>IFERROR(D51*(1+$B$3),"")</f>
        <v/>
      </c>
      <c r="F51" s="10" t="n">
        <v>59.8</v>
      </c>
      <c r="G51" s="10">
        <f>IF(OR(F51="",D51=""),"",F51-E51)</f>
        <v/>
      </c>
      <c r="H51" s="11">
        <f>IF(ABS(F51-E51)&lt;0.005,"OK","Fora da regra")</f>
        <v/>
      </c>
      <c r="I51" s="12" t="n">
        <v>75</v>
      </c>
      <c r="J51" s="12">
        <f>IFERROR(I51*(1+$B$3),"")</f>
        <v/>
      </c>
      <c r="K51" s="12" t="n">
        <v>97.5</v>
      </c>
      <c r="L51" s="12">
        <f>IF(OR(K51="",I51=""),"",K51-J51)</f>
        <v/>
      </c>
      <c r="M51" s="11">
        <f>IF(ABS(K51-J51)&lt;0.005,"OK","Fora da regra")</f>
        <v/>
      </c>
    </row>
    <row r="52">
      <c r="A52" s="7" t="n">
        <v>46</v>
      </c>
      <c r="B52" s="8" t="inlineStr">
        <is>
          <t>MARGUERITA ESPECIAL</t>
        </is>
      </c>
      <c r="C52" s="9" t="inlineStr">
        <is>
          <t>Pizza Marguerita Especial</t>
        </is>
      </c>
      <c r="D52" s="10" t="n">
        <v>62</v>
      </c>
      <c r="E52" s="10">
        <f>IFERROR(D52*(1+$B$3),"")</f>
        <v/>
      </c>
      <c r="F52" s="10" t="n">
        <v>80.59999999999999</v>
      </c>
      <c r="G52" s="10">
        <f>IF(OR(F52="",D52=""),"",F52-E52)</f>
        <v/>
      </c>
      <c r="H52" s="11">
        <f>IF(ABS(F52-E52)&lt;0.005,"OK","Fora da regra")</f>
        <v/>
      </c>
      <c r="I52" s="12" t="n">
        <v>99</v>
      </c>
      <c r="J52" s="12">
        <f>IFERROR(I52*(1+$B$3),"")</f>
        <v/>
      </c>
      <c r="K52" s="12" t="n">
        <v>128.7</v>
      </c>
      <c r="L52" s="12">
        <f>IF(OR(K52="",I52=""),"",K52-J52)</f>
        <v/>
      </c>
      <c r="M52" s="11">
        <f>IF(ABS(K52-J52)&lt;0.005,"OK","Fora da regra")</f>
        <v/>
      </c>
    </row>
    <row r="53">
      <c r="A53" s="7" t="n">
        <v>47</v>
      </c>
      <c r="B53" s="8" t="inlineStr">
        <is>
          <t>MILHO</t>
        </is>
      </c>
      <c r="C53" s="9" t="inlineStr">
        <is>
          <t>Pizza Milho</t>
        </is>
      </c>
      <c r="D53" s="10" t="n">
        <v>46</v>
      </c>
      <c r="E53" s="10">
        <f>IFERROR(D53*(1+$B$3),"")</f>
        <v/>
      </c>
      <c r="F53" s="10" t="n">
        <v>59.8</v>
      </c>
      <c r="G53" s="10">
        <f>IF(OR(F53="",D53=""),"",F53-E53)</f>
        <v/>
      </c>
      <c r="H53" s="11">
        <f>IF(ABS(F53-E53)&lt;0.005,"OK","Fora da regra")</f>
        <v/>
      </c>
      <c r="I53" s="12" t="n">
        <v>75</v>
      </c>
      <c r="J53" s="12">
        <f>IFERROR(I53*(1+$B$3),"")</f>
        <v/>
      </c>
      <c r="K53" s="12" t="n">
        <v>97.5</v>
      </c>
      <c r="L53" s="12">
        <f>IF(OR(K53="",I53=""),"",K53-J53)</f>
        <v/>
      </c>
      <c r="M53" s="11">
        <f>IF(ABS(K53-J53)&lt;0.005,"OK","Fora da regra")</f>
        <v/>
      </c>
    </row>
    <row r="54">
      <c r="A54" s="7" t="n">
        <v>48</v>
      </c>
      <c r="B54" s="8" t="inlineStr">
        <is>
          <t>MISTA</t>
        </is>
      </c>
      <c r="C54" s="9" t="inlineStr">
        <is>
          <t>Pizza Mista</t>
        </is>
      </c>
      <c r="D54" s="10" t="n">
        <v>45</v>
      </c>
      <c r="E54" s="10">
        <f>IFERROR(D54*(1+$B$3),"")</f>
        <v/>
      </c>
      <c r="F54" s="10" t="n">
        <v>58.5</v>
      </c>
      <c r="G54" s="10">
        <f>IF(OR(F54="",D54=""),"",F54-E54)</f>
        <v/>
      </c>
      <c r="H54" s="11">
        <f>IF(ABS(F54-E54)&lt;0.005,"OK","Fora da regra")</f>
        <v/>
      </c>
      <c r="I54" s="12" t="n">
        <v>70</v>
      </c>
      <c r="J54" s="12">
        <f>IFERROR(I54*(1+$B$3),"")</f>
        <v/>
      </c>
      <c r="K54" s="12" t="n">
        <v>91</v>
      </c>
      <c r="L54" s="12">
        <f>IF(OR(K54="",I54=""),"",K54-J54)</f>
        <v/>
      </c>
      <c r="M54" s="11">
        <f>IF(ABS(K54-J54)&lt;0.005,"OK","Fora da regra")</f>
        <v/>
      </c>
    </row>
    <row r="55">
      <c r="A55" s="7" t="n">
        <v>49</v>
      </c>
      <c r="B55" s="8" t="inlineStr">
        <is>
          <t>MUSSARELA</t>
        </is>
      </c>
      <c r="C55" s="9" t="inlineStr">
        <is>
          <t>Pizza Mussarela</t>
        </is>
      </c>
      <c r="D55" s="10" t="n">
        <v>43</v>
      </c>
      <c r="E55" s="10">
        <f>IFERROR(D55*(1+$B$3),"")</f>
        <v/>
      </c>
      <c r="F55" s="10" t="n">
        <v>55.9</v>
      </c>
      <c r="G55" s="10">
        <f>IF(OR(F55="",D55=""),"",F55-E55)</f>
        <v/>
      </c>
      <c r="H55" s="11">
        <f>IF(ABS(F55-E55)&lt;0.005,"OK","Fora da regra")</f>
        <v/>
      </c>
      <c r="I55" s="12" t="n">
        <v>69</v>
      </c>
      <c r="J55" s="12">
        <f>IFERROR(I55*(1+$B$3),"")</f>
        <v/>
      </c>
      <c r="K55" s="12" t="n">
        <v>89.7</v>
      </c>
      <c r="L55" s="12">
        <f>IF(OR(K55="",I55=""),"",K55-J55)</f>
        <v/>
      </c>
      <c r="M55" s="11">
        <f>IF(ABS(K55-J55)&lt;0.005,"OK","Fora da regra")</f>
        <v/>
      </c>
    </row>
    <row r="56">
      <c r="A56" s="7" t="n">
        <v>50</v>
      </c>
      <c r="B56" s="8" t="inlineStr">
        <is>
          <t>NAPOLITANA</t>
        </is>
      </c>
      <c r="C56" s="9" t="inlineStr">
        <is>
          <t>Pizza Napolitana</t>
        </is>
      </c>
      <c r="D56" s="10" t="n">
        <v>45</v>
      </c>
      <c r="E56" s="10">
        <f>IFERROR(D56*(1+$B$3),"")</f>
        <v/>
      </c>
      <c r="F56" s="10" t="n">
        <v>58.5</v>
      </c>
      <c r="G56" s="10">
        <f>IF(OR(F56="",D56=""),"",F56-E56)</f>
        <v/>
      </c>
      <c r="H56" s="11">
        <f>IF(ABS(F56-E56)&lt;0.005,"OK","Fora da regra")</f>
        <v/>
      </c>
      <c r="I56" s="12" t="n">
        <v>72</v>
      </c>
      <c r="J56" s="12">
        <f>IFERROR(I56*(1+$B$3),"")</f>
        <v/>
      </c>
      <c r="K56" s="12" t="n">
        <v>93.59999999999999</v>
      </c>
      <c r="L56" s="12">
        <f>IF(OR(K56="",I56=""),"",K56-J56)</f>
        <v/>
      </c>
      <c r="M56" s="11">
        <f>IF(ABS(K56-J56)&lt;0.005,"OK","Fora da regra")</f>
        <v/>
      </c>
    </row>
    <row r="57">
      <c r="A57" s="7" t="n">
        <v>51</v>
      </c>
      <c r="B57" s="8" t="inlineStr">
        <is>
          <t>PALMITO</t>
        </is>
      </c>
      <c r="C57" s="9" t="inlineStr">
        <is>
          <t>Pizza Palmito</t>
        </is>
      </c>
      <c r="D57" s="10" t="n">
        <v>60</v>
      </c>
      <c r="E57" s="10">
        <f>IFERROR(D57*(1+$B$3),"")</f>
        <v/>
      </c>
      <c r="F57" s="10" t="n">
        <v>78</v>
      </c>
      <c r="G57" s="10">
        <f>IF(OR(F57="",D57=""),"",F57-E57)</f>
        <v/>
      </c>
      <c r="H57" s="11">
        <f>IF(ABS(F57-E57)&lt;0.005,"OK","Fora da regra")</f>
        <v/>
      </c>
      <c r="I57" s="12" t="n">
        <v>94</v>
      </c>
      <c r="J57" s="12">
        <f>IFERROR(I57*(1+$B$3),"")</f>
        <v/>
      </c>
      <c r="K57" s="12" t="n">
        <v>122.2</v>
      </c>
      <c r="L57" s="12">
        <f>IF(OR(K57="",I57=""),"",K57-J57)</f>
        <v/>
      </c>
      <c r="M57" s="11">
        <f>IF(ABS(K57-J57)&lt;0.005,"OK","Fora da regra")</f>
        <v/>
      </c>
    </row>
    <row r="58">
      <c r="A58" s="7" t="n">
        <v>52</v>
      </c>
      <c r="B58" s="8" t="inlineStr">
        <is>
          <t>PEPPERONE</t>
        </is>
      </c>
      <c r="C58" s="9" t="inlineStr">
        <is>
          <t>Pizza Pepperoni</t>
        </is>
      </c>
      <c r="D58" s="10" t="n">
        <v>52</v>
      </c>
      <c r="E58" s="10">
        <f>IFERROR(D58*(1+$B$3),"")</f>
        <v/>
      </c>
      <c r="F58" s="10" t="n">
        <v>67.59999999999999</v>
      </c>
      <c r="G58" s="10">
        <f>IF(OR(F58="",D58=""),"",F58-E58)</f>
        <v/>
      </c>
      <c r="H58" s="11">
        <f>IF(ABS(F58-E58)&lt;0.005,"OK","Fora da regra")</f>
        <v/>
      </c>
      <c r="I58" s="12" t="n">
        <v>84</v>
      </c>
      <c r="J58" s="12">
        <f>IFERROR(I58*(1+$B$3),"")</f>
        <v/>
      </c>
      <c r="K58" s="12" t="n">
        <v>109.2</v>
      </c>
      <c r="L58" s="12">
        <f>IF(OR(K58="",I58=""),"",K58-J58)</f>
        <v/>
      </c>
      <c r="M58" s="11">
        <f>IF(ABS(K58-J58)&lt;0.005,"OK","Fora da regra")</f>
        <v/>
      </c>
    </row>
    <row r="59">
      <c r="A59" s="7" t="n">
        <v>53</v>
      </c>
      <c r="B59" s="8" t="inlineStr">
        <is>
          <t>PERUANA</t>
        </is>
      </c>
      <c r="C59" s="9" t="inlineStr">
        <is>
          <t>Pizza Peruana</t>
        </is>
      </c>
      <c r="D59" s="10" t="n">
        <v>62</v>
      </c>
      <c r="E59" s="10">
        <f>IFERROR(D59*(1+$B$3),"")</f>
        <v/>
      </c>
      <c r="F59" s="10" t="n">
        <v>80.59999999999999</v>
      </c>
      <c r="G59" s="10">
        <f>IF(OR(F59="",D59=""),"",F59-E59)</f>
        <v/>
      </c>
      <c r="H59" s="11">
        <f>IF(ABS(F59-E59)&lt;0.005,"OK","Fora da regra")</f>
        <v/>
      </c>
      <c r="I59" s="12" t="n">
        <v>99</v>
      </c>
      <c r="J59" s="12">
        <f>IFERROR(I59*(1+$B$3),"")</f>
        <v/>
      </c>
      <c r="K59" s="12" t="n">
        <v>128.7</v>
      </c>
      <c r="L59" s="12">
        <f>IF(OR(K59="",I59=""),"",K59-J59)</f>
        <v/>
      </c>
      <c r="M59" s="11">
        <f>IF(ABS(K59-J59)&lt;0.005,"OK","Fora da regra")</f>
        <v/>
      </c>
    </row>
    <row r="60">
      <c r="A60" s="7" t="n">
        <v>54</v>
      </c>
      <c r="B60" s="8" t="inlineStr">
        <is>
          <t>PORTUGUESA</t>
        </is>
      </c>
      <c r="C60" s="9" t="inlineStr">
        <is>
          <t>Pizza Portuguesa</t>
        </is>
      </c>
      <c r="D60" s="10" t="n">
        <v>46</v>
      </c>
      <c r="E60" s="10">
        <f>IFERROR(D60*(1+$B$3),"")</f>
        <v/>
      </c>
      <c r="F60" s="10" t="n">
        <v>59.8</v>
      </c>
      <c r="G60" s="10">
        <f>IF(OR(F60="",D60=""),"",F60-E60)</f>
        <v/>
      </c>
      <c r="H60" s="11">
        <f>IF(ABS(F60-E60)&lt;0.005,"OK","Fora da regra")</f>
        <v/>
      </c>
      <c r="I60" s="12" t="n">
        <v>75</v>
      </c>
      <c r="J60" s="12">
        <f>IFERROR(I60*(1+$B$3),"")</f>
        <v/>
      </c>
      <c r="K60" s="12" t="n">
        <v>97.5</v>
      </c>
      <c r="L60" s="12">
        <f>IF(OR(K60="",I60=""),"",K60-J60)</f>
        <v/>
      </c>
      <c r="M60" s="11">
        <f>IF(ABS(K60-J60)&lt;0.005,"OK","Fora da regra")</f>
        <v/>
      </c>
    </row>
    <row r="61">
      <c r="A61" s="7" t="n">
        <v>55</v>
      </c>
      <c r="B61" s="8" t="inlineStr">
        <is>
          <t>PORTUGUESA II</t>
        </is>
      </c>
      <c r="C61" s="9" t="inlineStr">
        <is>
          <t>Pizza Portuguesa 2</t>
        </is>
      </c>
      <c r="D61" s="10" t="n">
        <v>61</v>
      </c>
      <c r="E61" s="10">
        <f>IFERROR(D61*(1+$B$3),"")</f>
        <v/>
      </c>
      <c r="F61" s="10" t="n">
        <v>79.3</v>
      </c>
      <c r="G61" s="10">
        <f>IF(OR(F61="",D61=""),"",F61-E61)</f>
        <v/>
      </c>
      <c r="H61" s="11">
        <f>IF(ABS(F61-E61)&lt;0.005,"OK","Fora da regra")</f>
        <v/>
      </c>
      <c r="I61" s="12" t="n">
        <v>95</v>
      </c>
      <c r="J61" s="12">
        <f>IFERROR(I61*(1+$B$3),"")</f>
        <v/>
      </c>
      <c r="K61" s="12" t="n">
        <v>123.5</v>
      </c>
      <c r="L61" s="12">
        <f>IF(OR(K61="",I61=""),"",K61-J61)</f>
        <v/>
      </c>
      <c r="M61" s="11">
        <f>IF(ABS(K61-J61)&lt;0.005,"OK","Fora da regra")</f>
        <v/>
      </c>
    </row>
    <row r="62">
      <c r="A62" s="7" t="n">
        <v>56</v>
      </c>
      <c r="B62" s="8" t="inlineStr">
        <is>
          <t>PRIMEIRA CLASSE</t>
        </is>
      </c>
      <c r="C62" s="9" t="inlineStr">
        <is>
          <t>Pizza Primeira Classe</t>
        </is>
      </c>
      <c r="D62" s="10" t="n">
        <v>46</v>
      </c>
      <c r="E62" s="10">
        <f>IFERROR(D62*(1+$B$3),"")</f>
        <v/>
      </c>
      <c r="F62" s="10" t="n">
        <v>59.8</v>
      </c>
      <c r="G62" s="10">
        <f>IF(OR(F62="",D62=""),"",F62-E62)</f>
        <v/>
      </c>
      <c r="H62" s="11">
        <f>IF(ABS(F62-E62)&lt;0.005,"OK","Fora da regra")</f>
        <v/>
      </c>
      <c r="I62" s="12" t="n">
        <v>75</v>
      </c>
      <c r="J62" s="12">
        <f>IFERROR(I62*(1+$B$3),"")</f>
        <v/>
      </c>
      <c r="K62" s="12" t="n">
        <v>97.5</v>
      </c>
      <c r="L62" s="12">
        <f>IF(OR(K62="",I62=""),"",K62-J62)</f>
        <v/>
      </c>
      <c r="M62" s="11">
        <f>IF(ABS(K62-J62)&lt;0.005,"OK","Fora da regra")</f>
        <v/>
      </c>
    </row>
    <row r="63">
      <c r="A63" s="7" t="n">
        <v>57</v>
      </c>
      <c r="B63" s="8" t="inlineStr">
        <is>
          <t>ROMANA</t>
        </is>
      </c>
      <c r="C63" s="9" t="inlineStr">
        <is>
          <t>Pizza Romana</t>
        </is>
      </c>
      <c r="D63" s="10" t="n">
        <v>65</v>
      </c>
      <c r="E63" s="10">
        <f>IFERROR(D63*(1+$B$3),"")</f>
        <v/>
      </c>
      <c r="F63" s="10" t="n">
        <v>84.5</v>
      </c>
      <c r="G63" s="10">
        <f>IF(OR(F63="",D63=""),"",F63-E63)</f>
        <v/>
      </c>
      <c r="H63" s="11">
        <f>IF(ABS(F63-E63)&lt;0.005,"OK","Fora da regra")</f>
        <v/>
      </c>
      <c r="I63" s="12" t="n">
        <v>105</v>
      </c>
      <c r="J63" s="12">
        <f>IFERROR(I63*(1+$B$3),"")</f>
        <v/>
      </c>
      <c r="K63" s="12" t="n">
        <v>136.5</v>
      </c>
      <c r="L63" s="12">
        <f>IF(OR(K63="",I63=""),"",K63-J63)</f>
        <v/>
      </c>
      <c r="M63" s="11">
        <f>IF(ABS(K63-J63)&lt;0.005,"OK","Fora da regra")</f>
        <v/>
      </c>
    </row>
    <row r="64">
      <c r="A64" s="7" t="n">
        <v>58</v>
      </c>
      <c r="B64" s="8" t="inlineStr">
        <is>
          <t>RÚCULA</t>
        </is>
      </c>
      <c r="C64" s="9" t="inlineStr">
        <is>
          <t>Pizza Rúcula</t>
        </is>
      </c>
      <c r="D64" s="10" t="n">
        <v>61</v>
      </c>
      <c r="E64" s="10">
        <f>IFERROR(D64*(1+$B$3),"")</f>
        <v/>
      </c>
      <c r="F64" s="10" t="n">
        <v>79.3</v>
      </c>
      <c r="G64" s="10">
        <f>IF(OR(F64="",D64=""),"",F64-E64)</f>
        <v/>
      </c>
      <c r="H64" s="11">
        <f>IF(ABS(F64-E64)&lt;0.005,"OK","Fora da regra")</f>
        <v/>
      </c>
      <c r="I64" s="12" t="n">
        <v>95</v>
      </c>
      <c r="J64" s="12">
        <f>IFERROR(I64*(1+$B$3),"")</f>
        <v/>
      </c>
      <c r="K64" s="12" t="n">
        <v>123.5</v>
      </c>
      <c r="L64" s="12">
        <f>IF(OR(K64="",I64=""),"",K64-J64)</f>
        <v/>
      </c>
      <c r="M64" s="11">
        <f>IF(ABS(K64-J64)&lt;0.005,"OK","Fora da regra")</f>
        <v/>
      </c>
    </row>
    <row r="65">
      <c r="A65" s="7" t="n">
        <v>59</v>
      </c>
      <c r="B65" s="8" t="inlineStr">
        <is>
          <t>SICILIANA</t>
        </is>
      </c>
      <c r="C65" s="9" t="inlineStr">
        <is>
          <t>Pizza Siciliana</t>
        </is>
      </c>
      <c r="D65" s="10" t="n">
        <v>52</v>
      </c>
      <c r="E65" s="10">
        <f>IFERROR(D65*(1+$B$3),"")</f>
        <v/>
      </c>
      <c r="F65" s="10" t="n">
        <v>67.59999999999999</v>
      </c>
      <c r="G65" s="10">
        <f>IF(OR(F65="",D65=""),"",F65-E65)</f>
        <v/>
      </c>
      <c r="H65" s="11">
        <f>IF(ABS(F65-E65)&lt;0.005,"OK","Fora da regra")</f>
        <v/>
      </c>
      <c r="I65" s="12" t="n">
        <v>84</v>
      </c>
      <c r="J65" s="12">
        <f>IFERROR(I65*(1+$B$3),"")</f>
        <v/>
      </c>
      <c r="K65" s="12" t="n">
        <v>109.2</v>
      </c>
      <c r="L65" s="12">
        <f>IF(OR(K65="",I65=""),"",K65-J65)</f>
        <v/>
      </c>
      <c r="M65" s="11">
        <f>IF(ABS(K65-J65)&lt;0.005,"OK","Fora da regra")</f>
        <v/>
      </c>
    </row>
    <row r="66">
      <c r="A66" s="7" t="n">
        <v>60</v>
      </c>
      <c r="B66" s="8" t="inlineStr">
        <is>
          <t>STROGONOFF</t>
        </is>
      </c>
      <c r="C66" s="9" t="inlineStr">
        <is>
          <t>Pizza Strogonoff</t>
        </is>
      </c>
      <c r="D66" s="10" t="n">
        <v>75</v>
      </c>
      <c r="E66" s="10">
        <f>IFERROR(D66*(1+$B$3),"")</f>
        <v/>
      </c>
      <c r="F66" s="10" t="n">
        <v>97.5</v>
      </c>
      <c r="G66" s="10">
        <f>IF(OR(F66="",D66=""),"",F66-E66)</f>
        <v/>
      </c>
      <c r="H66" s="11">
        <f>IF(ABS(F66-E66)&lt;0.005,"OK","Fora da regra")</f>
        <v/>
      </c>
      <c r="I66" s="12" t="n">
        <v>120</v>
      </c>
      <c r="J66" s="12">
        <f>IFERROR(I66*(1+$B$3),"")</f>
        <v/>
      </c>
      <c r="K66" s="12" t="n">
        <v>156</v>
      </c>
      <c r="L66" s="12">
        <f>IF(OR(K66="",I66=""),"",K66-J66)</f>
        <v/>
      </c>
      <c r="M66" s="11">
        <f>IF(ABS(K66-J66)&lt;0.005,"OK","Fora da regra")</f>
        <v/>
      </c>
    </row>
    <row r="67">
      <c r="A67" s="7" t="n">
        <v>61</v>
      </c>
      <c r="B67" s="8" t="inlineStr">
        <is>
          <t>TOMATE SECO</t>
        </is>
      </c>
      <c r="C67" s="9" t="inlineStr">
        <is>
          <t>Pizza Tomate Seco</t>
        </is>
      </c>
      <c r="D67" s="10" t="n">
        <v>46</v>
      </c>
      <c r="E67" s="10">
        <f>IFERROR(D67*(1+$B$3),"")</f>
        <v/>
      </c>
      <c r="F67" s="10" t="n">
        <v>59.8</v>
      </c>
      <c r="G67" s="10">
        <f>IF(OR(F67="",D67=""),"",F67-E67)</f>
        <v/>
      </c>
      <c r="H67" s="11">
        <f>IF(ABS(F67-E67)&lt;0.005,"OK","Fora da regra")</f>
        <v/>
      </c>
      <c r="I67" s="12" t="n">
        <v>75</v>
      </c>
      <c r="J67" s="12">
        <f>IFERROR(I67*(1+$B$3),"")</f>
        <v/>
      </c>
      <c r="K67" s="12" t="n">
        <v>97.5</v>
      </c>
      <c r="L67" s="12">
        <f>IF(OR(K67="",I67=""),"",K67-J67)</f>
        <v/>
      </c>
      <c r="M67" s="11">
        <f>IF(ABS(K67-J67)&lt;0.005,"OK","Fora da regra")</f>
        <v/>
      </c>
    </row>
    <row r="68">
      <c r="A68" s="7" t="n">
        <v>62</v>
      </c>
      <c r="B68" s="8" t="inlineStr">
        <is>
          <t>TOSCANA</t>
        </is>
      </c>
      <c r="C68" s="9" t="inlineStr">
        <is>
          <t>Pizza Toscana</t>
        </is>
      </c>
      <c r="D68" s="10" t="n">
        <v>49</v>
      </c>
      <c r="E68" s="10">
        <f>IFERROR(D68*(1+$B$3),"")</f>
        <v/>
      </c>
      <c r="F68" s="10" t="n">
        <v>63.7</v>
      </c>
      <c r="G68" s="10">
        <f>IF(OR(F68="",D68=""),"",F68-E68)</f>
        <v/>
      </c>
      <c r="H68" s="11">
        <f>IF(ABS(F68-E68)&lt;0.005,"OK","Fora da regra")</f>
        <v/>
      </c>
      <c r="I68" s="12" t="n">
        <v>80</v>
      </c>
      <c r="J68" s="12">
        <f>IFERROR(I68*(1+$B$3),"")</f>
        <v/>
      </c>
      <c r="K68" s="12" t="n">
        <v>104</v>
      </c>
      <c r="L68" s="12">
        <f>IF(OR(K68="",I68=""),"",K68-J68)</f>
        <v/>
      </c>
      <c r="M68" s="11">
        <f>IF(ABS(K68-J68)&lt;0.005,"OK","Fora da regra")</f>
        <v/>
      </c>
    </row>
    <row r="69">
      <c r="A69" s="7" t="n">
        <v>63</v>
      </c>
      <c r="B69" s="8" t="inlineStr">
        <is>
          <t>VEGETARIANA</t>
        </is>
      </c>
      <c r="C69" s="9" t="inlineStr">
        <is>
          <t>Pizza Vegetariana</t>
        </is>
      </c>
      <c r="D69" s="10" t="n">
        <v>56</v>
      </c>
      <c r="E69" s="10">
        <f>IFERROR(D69*(1+$B$3),"")</f>
        <v/>
      </c>
      <c r="F69" s="10" t="n">
        <v>72.8</v>
      </c>
      <c r="G69" s="10">
        <f>IF(OR(F69="",D69=""),"",F69-E69)</f>
        <v/>
      </c>
      <c r="H69" s="11">
        <f>IF(ABS(F69-E69)&lt;0.005,"OK","Fora da regra")</f>
        <v/>
      </c>
      <c r="I69" s="12" t="n">
        <v>90</v>
      </c>
      <c r="J69" s="12">
        <f>IFERROR(I69*(1+$B$3),"")</f>
        <v/>
      </c>
      <c r="K69" s="12" t="n">
        <v>117</v>
      </c>
      <c r="L69" s="12">
        <f>IF(OR(K69="",I69=""),"",K69-J69)</f>
        <v/>
      </c>
      <c r="M69" s="11">
        <f>IF(ABS(K69-J69)&lt;0.005,"OK","Fora da regra")</f>
        <v/>
      </c>
    </row>
    <row r="70">
      <c r="A70" s="6" t="inlineStr">
        <is>
          <t>PIZZAS DOCES / SOBREMESA</t>
        </is>
      </c>
    </row>
    <row r="71">
      <c r="A71" s="7" t="n">
        <v>64</v>
      </c>
      <c r="B71" s="8" t="inlineStr">
        <is>
          <t>BANANA</t>
        </is>
      </c>
      <c r="C71" s="9" t="inlineStr">
        <is>
          <t>Pizza Banana</t>
        </is>
      </c>
      <c r="D71" s="10" t="n">
        <v>37</v>
      </c>
      <c r="E71" s="10">
        <f>IFERROR(D71*(1+$B$3),"")</f>
        <v/>
      </c>
      <c r="F71" s="10" t="n"/>
      <c r="G71" s="10">
        <f>IF(OR(F71="",D71=""),"",F71-E71)</f>
        <v/>
      </c>
      <c r="H71" s="11">
        <f>"Não cadastrado"</f>
        <v/>
      </c>
      <c r="I71" s="12" t="n">
        <v>60</v>
      </c>
      <c r="J71" s="12">
        <f>IFERROR(I71*(1+$B$3),"")</f>
        <v/>
      </c>
      <c r="K71" s="12" t="n">
        <v>78</v>
      </c>
      <c r="L71" s="12">
        <f>IF(OR(K71="",I71=""),"",K71-J71)</f>
        <v/>
      </c>
      <c r="M71" s="11">
        <f>IF(ABS(K71-J71)&lt;0.005,"OK","Fora da regra")</f>
        <v/>
      </c>
    </row>
    <row r="72">
      <c r="A72" s="7" t="n">
        <v>65</v>
      </c>
      <c r="B72" s="8" t="inlineStr">
        <is>
          <t>BRIGADEIRO</t>
        </is>
      </c>
      <c r="C72" s="9" t="inlineStr">
        <is>
          <t>Pizza Brigadeiro</t>
        </is>
      </c>
      <c r="D72" s="10" t="n">
        <v>37</v>
      </c>
      <c r="E72" s="10">
        <f>IFERROR(D72*(1+$B$3),"")</f>
        <v/>
      </c>
      <c r="F72" s="10" t="n"/>
      <c r="G72" s="10">
        <f>IF(OR(F72="",D72=""),"",F72-E72)</f>
        <v/>
      </c>
      <c r="H72" s="11">
        <f>"Não cadastrado"</f>
        <v/>
      </c>
      <c r="I72" s="12" t="n">
        <v>60</v>
      </c>
      <c r="J72" s="12">
        <f>IFERROR(I72*(1+$B$3),"")</f>
        <v/>
      </c>
      <c r="K72" s="12" t="n">
        <v>78</v>
      </c>
      <c r="L72" s="12">
        <f>IF(OR(K72="",I72=""),"",K72-J72)</f>
        <v/>
      </c>
      <c r="M72" s="11">
        <f>IF(ABS(K72-J72)&lt;0.005,"OK","Fora da regra")</f>
        <v/>
      </c>
    </row>
    <row r="73">
      <c r="A73" s="7" t="n">
        <v>66</v>
      </c>
      <c r="B73" s="8" t="inlineStr">
        <is>
          <t>ROMEU E JULIETA</t>
        </is>
      </c>
      <c r="C73" s="9" t="inlineStr">
        <is>
          <t>Pizza Romeu E Julieta</t>
        </is>
      </c>
      <c r="D73" s="10" t="n">
        <v>37</v>
      </c>
      <c r="E73" s="10">
        <f>IFERROR(D73*(1+$B$3),"")</f>
        <v/>
      </c>
      <c r="F73" s="10" t="n"/>
      <c r="G73" s="10">
        <f>IF(OR(F73="",D73=""),"",F73-E73)</f>
        <v/>
      </c>
      <c r="H73" s="11">
        <f>"Não cadastrado"</f>
        <v/>
      </c>
      <c r="I73" s="12" t="n">
        <v>60</v>
      </c>
      <c r="J73" s="12">
        <f>IFERROR(I73*(1+$B$3),"")</f>
        <v/>
      </c>
      <c r="K73" s="12" t="n">
        <v>78</v>
      </c>
      <c r="L73" s="12">
        <f>IF(OR(K73="",I73=""),"",K73-J73)</f>
        <v/>
      </c>
      <c r="M73" s="11">
        <f>IF(ABS(K73-J73)&lt;0.005,"OK","Fora da regra")</f>
        <v/>
      </c>
    </row>
    <row r="74">
      <c r="A74" s="7" t="n">
        <v>67</v>
      </c>
      <c r="B74" s="8" t="inlineStr">
        <is>
          <t>CHOCOLATE COM MORANGO</t>
        </is>
      </c>
      <c r="C74" s="9" t="inlineStr">
        <is>
          <t>Chocolate com morango</t>
        </is>
      </c>
      <c r="D74" s="10" t="n">
        <v>44</v>
      </c>
      <c r="E74" s="10">
        <f>IFERROR(D74*(1+$B$3),"")</f>
        <v/>
      </c>
      <c r="F74" s="10" t="n"/>
      <c r="G74" s="10">
        <f>IF(OR(F74="",D74=""),"",F74-E74)</f>
        <v/>
      </c>
      <c r="H74" s="11">
        <f>"Não cadastrado"</f>
        <v/>
      </c>
      <c r="I74" s="12" t="n">
        <v>70</v>
      </c>
      <c r="J74" s="12">
        <f>IFERROR(I74*(1+$B$3),"")</f>
        <v/>
      </c>
      <c r="K74" s="12" t="n">
        <v>91</v>
      </c>
      <c r="L74" s="12">
        <f>IF(OR(K74="",I74=""),"",K74-J74)</f>
        <v/>
      </c>
      <c r="M74" s="11">
        <f>IF(ABS(K74-J74)&lt;0.005,"OK","Fora da regra")</f>
        <v/>
      </c>
    </row>
    <row r="75">
      <c r="A75" s="7" t="n">
        <v>68</v>
      </c>
      <c r="B75" s="8" t="inlineStr">
        <is>
          <t>TORTA HOLANDESA</t>
        </is>
      </c>
      <c r="C75" s="13" t="inlineStr">
        <is>
          <t>— não está no Keeta —</t>
        </is>
      </c>
      <c r="D75" s="14" t="n">
        <v>12</v>
      </c>
      <c r="E75" s="14">
        <f>IFERROR(D75*(1+$B$3),"")</f>
        <v/>
      </c>
      <c r="F75" s="14" t="n"/>
      <c r="G75" s="14">
        <f>IF(OR(F75="",D75=""),"",F75-E75)</f>
        <v/>
      </c>
      <c r="H75" s="15">
        <f>"Não cadastrado"</f>
        <v/>
      </c>
      <c r="I75" s="14" t="n"/>
      <c r="J75" s="14">
        <f>IFERROR(I75*(1+$B$3),"")</f>
        <v/>
      </c>
      <c r="K75" s="14" t="n"/>
      <c r="L75" s="14">
        <f>IF(OR(K75="",I75=""),"",K75-J75)</f>
        <v/>
      </c>
      <c r="M75" s="15">
        <f>"—"</f>
        <v/>
      </c>
    </row>
    <row r="77">
      <c r="A77" s="3" t="inlineStr">
        <is>
          <t>Itens conferindo exatamente +30% (broto e grande):</t>
        </is>
      </c>
      <c r="F77" s="16" t="n">
        <v>61</v>
      </c>
    </row>
    <row r="78">
      <c r="A78" s="3" t="inlineStr">
        <is>
          <t>Itens fora da regra:</t>
        </is>
      </c>
      <c r="F78" s="16" t="n">
        <v>6</v>
      </c>
    </row>
    <row r="79">
      <c r="A79" s="3" t="inlineStr">
        <is>
          <t>Itens do cardápio que não existem no Keeta:</t>
        </is>
      </c>
      <c r="F79" s="16" t="n">
        <v>1</v>
      </c>
    </row>
    <row r="81">
      <c r="A81" s="17" t="inlineStr">
        <is>
          <t>Fontes — Cardápio: "artes_da_pizza_precos_corrigidos (1).pdf", conferido item a item na imagem do PDF. Keeta: extraído da API do painel merchant.mykeeta.com em 15/09/2026 (todos os 56 sabores cadastrados, nos dois tamanhos) — não é estimativa, é o preço que está no ar.</t>
        </is>
      </c>
    </row>
  </sheetData>
  <mergeCells count="8">
    <mergeCell ref="A77:E77"/>
    <mergeCell ref="A1:M1"/>
    <mergeCell ref="A78:E78"/>
    <mergeCell ref="A6:M6"/>
    <mergeCell ref="A70:M70"/>
    <mergeCell ref="A81:M81"/>
    <mergeCell ref="A2:M2"/>
    <mergeCell ref="A79:E79"/>
  </mergeCells>
  <conditionalFormatting sqref="H7:H75">
    <cfRule type="cellIs" priority="1" operator="equal" dxfId="0">
      <formula>"OK"</formula>
    </cfRule>
    <cfRule type="cellIs" priority="2" operator="equal" dxfId="1">
      <formula>"Fora da regra"</formula>
    </cfRule>
    <cfRule type="cellIs" priority="3" operator="equal" dxfId="2">
      <formula>"Não cadastrado"</formula>
    </cfRule>
  </conditionalFormatting>
  <conditionalFormatting sqref="M7:M75">
    <cfRule type="cellIs" priority="4" operator="equal" dxfId="0">
      <formula>"OK"</formula>
    </cfRule>
    <cfRule type="cellIs" priority="5" operator="equal" dxfId="1">
      <formula>"Fora da regra"</formula>
    </cfRule>
    <cfRule type="cellIs" priority="6" operator="equal" dxfId="2">
      <formula>"Não cadastrado"</formula>
    </cfRule>
  </conditionalFormatting>
  <conditionalFormatting sqref="G7:G75">
    <cfRule type="cellIs" priority="7" operator="greaterThan" dxfId="1">
      <formula>0.005</formula>
    </cfRule>
    <cfRule type="cellIs" priority="8" operator="lessThan" dxfId="1">
      <formula>-0.005</formula>
    </cfRule>
  </conditionalFormatting>
  <conditionalFormatting sqref="L7:L75">
    <cfRule type="cellIs" priority="9" operator="greaterThan" dxfId="1">
      <formula>0.005</formula>
    </cfRule>
    <cfRule type="cellIs" priority="10" operator="lessThan" dxfId="1">
      <formula>-0.005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9" customWidth="1" min="5" max="5"/>
    <col width="11" customWidth="1" min="6" max="6"/>
    <col width="10" customWidth="1" min="7" max="7"/>
    <col width="9" customWidth="1" min="8" max="8"/>
  </cols>
  <sheetData>
    <row r="1">
      <c r="A1" s="1" t="inlineStr">
        <is>
          <t>ARTES DA PIZZA — Borda: cardápio vs Keeta</t>
        </is>
      </c>
    </row>
    <row r="2" ht="28" customHeight="1">
      <c r="A2" s="2" t="inlineStr">
        <is>
          <t>Cardápio: PDF pág.2 — preço único, igual para os dois tamanhos. Keeta: extraído da API em 15/09/2026 — lá a borda tem preço diferente por tamanho.</t>
        </is>
      </c>
    </row>
    <row r="4" ht="30" customHeight="1">
      <c r="A4" s="5" t="inlineStr">
        <is>
          <t>Borda</t>
        </is>
      </c>
      <c r="B4" s="5" t="inlineStr">
        <is>
          <t>Cardápio
(loja)</t>
        </is>
      </c>
      <c r="C4" s="5" t="inlineStr">
        <is>
          <t>Keeta
Broto</t>
        </is>
      </c>
      <c r="D4" s="5" t="inlineStr">
        <is>
          <t>Δ Broto
R$</t>
        </is>
      </c>
      <c r="E4" s="5" t="inlineStr">
        <is>
          <t>Δ Broto
%</t>
        </is>
      </c>
      <c r="F4" s="5" t="inlineStr">
        <is>
          <t>Keeta
Grande</t>
        </is>
      </c>
      <c r="G4" s="5" t="inlineStr">
        <is>
          <t>Δ Grande
R$</t>
        </is>
      </c>
      <c r="H4" s="5" t="inlineStr">
        <is>
          <t>Δ Grande
%</t>
        </is>
      </c>
    </row>
    <row r="5">
      <c r="A5" s="8" t="inlineStr">
        <is>
          <t>CATUPIRY</t>
        </is>
      </c>
      <c r="B5" s="12" t="n">
        <v>14</v>
      </c>
      <c r="C5" s="10" t="n">
        <v>14</v>
      </c>
      <c r="D5" s="10">
        <f>IFERROR(C5-B5,"")</f>
        <v/>
      </c>
      <c r="E5" s="18">
        <f>IFERROR((C5-B5)/B5,"")</f>
        <v/>
      </c>
      <c r="F5" s="12" t="n">
        <v>16</v>
      </c>
      <c r="G5" s="12">
        <f>IFERROR(F5-B5,"")</f>
        <v/>
      </c>
      <c r="H5" s="19">
        <f>IFERROR((F5-B5)/B5,"")</f>
        <v/>
      </c>
    </row>
    <row r="6">
      <c r="A6" s="8" t="inlineStr">
        <is>
          <t>CHEDDAR</t>
        </is>
      </c>
      <c r="B6" s="12" t="n">
        <v>10</v>
      </c>
      <c r="C6" s="10" t="n">
        <v>10</v>
      </c>
      <c r="D6" s="10">
        <f>IFERROR(C6-B6,"")</f>
        <v/>
      </c>
      <c r="E6" s="18">
        <f>IFERROR((C6-B6)/B6,"")</f>
        <v/>
      </c>
      <c r="F6" s="12" t="n">
        <v>14</v>
      </c>
      <c r="G6" s="12">
        <f>IFERROR(F6-B6,"")</f>
        <v/>
      </c>
      <c r="H6" s="19">
        <f>IFERROR((F6-B6)/B6,"")</f>
        <v/>
      </c>
    </row>
    <row r="8">
      <c r="A8" s="20" t="inlineStr">
        <is>
          <t>No broto a borda é igual ao cardápio. No grande, o Keeta cobra mais nas duas opções.</t>
        </is>
      </c>
    </row>
  </sheetData>
  <mergeCells count="3">
    <mergeCell ref="A8:H8"/>
    <mergeCell ref="A2:H2"/>
    <mergeCell ref="A1:H1"/>
  </mergeCells>
  <conditionalFormatting sqref="D5:D6">
    <cfRule type="cellIs" priority="1" operator="greaterThan" dxfId="1">
      <formula>0</formula>
    </cfRule>
    <cfRule type="cellIs" priority="2" operator="lessThan" dxfId="0">
      <formula>0</formula>
    </cfRule>
  </conditionalFormatting>
  <conditionalFormatting sqref="E5:E6">
    <cfRule type="cellIs" priority="3" operator="greaterThan" dxfId="1">
      <formula>0</formula>
    </cfRule>
    <cfRule type="cellIs" priority="4" operator="lessThan" dxfId="0">
      <formula>0</formula>
    </cfRule>
  </conditionalFormatting>
  <conditionalFormatting sqref="G5:G6">
    <cfRule type="cellIs" priority="5" operator="greaterThan" dxfId="1">
      <formula>0</formula>
    </cfRule>
    <cfRule type="cellIs" priority="6" operator="lessThan" dxfId="0">
      <formula>0</formula>
    </cfRule>
  </conditionalFormatting>
  <conditionalFormatting sqref="H5:H6">
    <cfRule type="cellIs" priority="7" operator="greaterThan" dxfId="1">
      <formula>0</formula>
    </cfRule>
    <cfRule type="cellIs" priority="8" operator="lessThan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0" customWidth="1" min="5" max="5"/>
    <col width="9" customWidth="1" min="6" max="6"/>
  </cols>
  <sheetData>
    <row r="1">
      <c r="A1" s="1" t="inlineStr">
        <is>
          <t>ARTES DA PIZZA — Preço de meia pizza no Keeta</t>
        </is>
      </c>
    </row>
    <row r="2" ht="44" customHeight="1">
      <c r="A2" s="2" t="inlineStr">
        <is>
          <t>O item GRANDE 2 SABORES cobra R$ 0,01 + a meia do sabor A + a meia do sabor B. Aqui comparamos cada meia com a metade exata do grande do mesmo sabor. Atenção: o cardápio impresso diz "pizzas de dois sabores, prevalece o valor maior" — regra que a soma de metades não reproduz (ver nota ao final).</t>
        </is>
      </c>
    </row>
    <row r="4" ht="30" customHeight="1">
      <c r="A4" s="5" t="inlineStr">
        <is>
          <t>Sabor</t>
        </is>
      </c>
      <c r="B4" s="5" t="inlineStr">
        <is>
          <t>Grande
no app</t>
        </is>
      </c>
      <c r="C4" s="5" t="inlineStr">
        <is>
          <t>Metade
exata</t>
        </is>
      </c>
      <c r="D4" s="5" t="inlineStr">
        <is>
          <t>Meia
no app</t>
        </is>
      </c>
      <c r="E4" s="5" t="inlineStr">
        <is>
          <t>Δ R$</t>
        </is>
      </c>
      <c r="F4" s="5" t="inlineStr">
        <is>
          <t>Δ %</t>
        </is>
      </c>
    </row>
    <row r="5">
      <c r="A5" s="8" t="inlineStr">
        <is>
          <t>Pizza Classic</t>
        </is>
      </c>
      <c r="B5" s="12" t="n">
        <v>128.7</v>
      </c>
      <c r="C5" s="12">
        <f>B5/2</f>
        <v/>
      </c>
      <c r="D5" s="12" t="n">
        <v>53.63</v>
      </c>
      <c r="E5" s="12">
        <f>D5-C5</f>
        <v/>
      </c>
      <c r="F5" s="19">
        <f>IFERROR((D5-C5)/C5,"")</f>
        <v/>
      </c>
    </row>
    <row r="6">
      <c r="A6" s="8" t="inlineStr">
        <is>
          <t>Pizza Romana</t>
        </is>
      </c>
      <c r="B6" s="12" t="n">
        <v>136.5</v>
      </c>
      <c r="C6" s="12">
        <f>B6/2</f>
        <v/>
      </c>
      <c r="D6" s="12" t="n">
        <v>64.25</v>
      </c>
      <c r="E6" s="12">
        <f>D6-C6</f>
        <v/>
      </c>
      <c r="F6" s="19">
        <f>IFERROR((D6-C6)/C6,"")</f>
        <v/>
      </c>
    </row>
    <row r="7">
      <c r="A7" s="8" t="inlineStr">
        <is>
          <t>Pizza Lombo</t>
        </is>
      </c>
      <c r="B7" s="12" t="n">
        <v>89.7</v>
      </c>
      <c r="C7" s="12">
        <f>B7/2</f>
        <v/>
      </c>
      <c r="D7" s="12" t="n">
        <v>41.24</v>
      </c>
      <c r="E7" s="12">
        <f>D7-C7</f>
        <v/>
      </c>
      <c r="F7" s="19">
        <f>IFERROR((D7-C7)/C7,"")</f>
        <v/>
      </c>
    </row>
    <row r="8">
      <c r="A8" s="8" t="inlineStr">
        <is>
          <t>Pizza Artes Da Pizza</t>
        </is>
      </c>
      <c r="B8" s="12" t="n">
        <v>101.4</v>
      </c>
      <c r="C8" s="12">
        <f>B8/2</f>
        <v/>
      </c>
      <c r="D8" s="12" t="n">
        <v>49.5</v>
      </c>
      <c r="E8" s="12">
        <f>D8-C8</f>
        <v/>
      </c>
      <c r="F8" s="19">
        <f>IFERROR((D8-C8)/C8,"")</f>
        <v/>
      </c>
    </row>
    <row r="9">
      <c r="A9" s="8" t="inlineStr">
        <is>
          <t>Pizza Portuguesa 2</t>
        </is>
      </c>
      <c r="B9" s="12" t="n">
        <v>123.5</v>
      </c>
      <c r="C9" s="12">
        <f>B9/2</f>
        <v/>
      </c>
      <c r="D9" s="12" t="n">
        <v>60.71</v>
      </c>
      <c r="E9" s="12">
        <f>D9-C9</f>
        <v/>
      </c>
      <c r="F9" s="19">
        <f>IFERROR((D9-C9)/C9,"")</f>
        <v/>
      </c>
    </row>
    <row r="10">
      <c r="A10" s="8" t="inlineStr">
        <is>
          <t>Pizza Rúcula</t>
        </is>
      </c>
      <c r="B10" s="12" t="n">
        <v>123.5</v>
      </c>
      <c r="C10" s="12">
        <f>B10/2</f>
        <v/>
      </c>
      <c r="D10" s="12" t="n">
        <v>60.71</v>
      </c>
      <c r="E10" s="12">
        <f>D10-C10</f>
        <v/>
      </c>
      <c r="F10" s="19">
        <f>IFERROR((D10-C10)/C10,"")</f>
        <v/>
      </c>
    </row>
    <row r="11">
      <c r="A11" s="8" t="inlineStr">
        <is>
          <t>Pizza Lombo 2</t>
        </is>
      </c>
      <c r="B11" s="12" t="n">
        <v>109.2</v>
      </c>
      <c r="C11" s="12">
        <f>B11/2</f>
        <v/>
      </c>
      <c r="D11" s="12" t="n">
        <v>53.63</v>
      </c>
      <c r="E11" s="12">
        <f>D11-C11</f>
        <v/>
      </c>
      <c r="F11" s="19">
        <f>IFERROR((D11-C11)/C11,"")</f>
        <v/>
      </c>
    </row>
    <row r="12">
      <c r="A12" s="8" t="inlineStr">
        <is>
          <t>Pizza 2 Queijos</t>
        </is>
      </c>
      <c r="B12" s="12" t="n">
        <v>106.6</v>
      </c>
      <c r="C12" s="12">
        <f>B12/2</f>
        <v/>
      </c>
      <c r="D12" s="12" t="n">
        <v>52.45</v>
      </c>
      <c r="E12" s="12">
        <f>D12-C12</f>
        <v/>
      </c>
      <c r="F12" s="19">
        <f>IFERROR((D12-C12)/C12,"")</f>
        <v/>
      </c>
    </row>
    <row r="13">
      <c r="A13" s="8" t="inlineStr">
        <is>
          <t>Pizza 4 Queijos</t>
        </is>
      </c>
      <c r="B13" s="12" t="n">
        <v>118.3</v>
      </c>
      <c r="C13" s="12">
        <f>B13/2</f>
        <v/>
      </c>
      <c r="D13" s="12" t="n">
        <v>58.35</v>
      </c>
      <c r="E13" s="12">
        <f>D13-C13</f>
        <v/>
      </c>
      <c r="F13" s="19">
        <f>IFERROR((D13-C13)/C13,"")</f>
        <v/>
      </c>
    </row>
    <row r="14">
      <c r="A14" s="8" t="inlineStr">
        <is>
          <t>Pizza Americana</t>
        </is>
      </c>
      <c r="B14" s="12" t="n">
        <v>118.3</v>
      </c>
      <c r="C14" s="12">
        <f>B14/2</f>
        <v/>
      </c>
      <c r="D14" s="12" t="n">
        <v>58.35</v>
      </c>
      <c r="E14" s="12">
        <f>D14-C14</f>
        <v/>
      </c>
      <c r="F14" s="19">
        <f>IFERROR((D14-C14)/C14,"")</f>
        <v/>
      </c>
    </row>
    <row r="15">
      <c r="A15" s="8" t="inlineStr">
        <is>
          <t>Pizza Caprichosa</t>
        </is>
      </c>
      <c r="B15" s="12" t="n">
        <v>115.7</v>
      </c>
      <c r="C15" s="12">
        <f>B15/2</f>
        <v/>
      </c>
      <c r="D15" s="12" t="n">
        <v>57.17</v>
      </c>
      <c r="E15" s="12">
        <f>D15-C15</f>
        <v/>
      </c>
      <c r="F15" s="19">
        <f>IFERROR((D15-C15)/C15,"")</f>
        <v/>
      </c>
    </row>
    <row r="16">
      <c r="A16" s="8" t="inlineStr">
        <is>
          <t>Pizza Aliche Importado</t>
        </is>
      </c>
      <c r="B16" s="12" t="n">
        <v>123.5</v>
      </c>
      <c r="C16" s="12">
        <f>B16/2</f>
        <v/>
      </c>
      <c r="D16" s="12" t="n">
        <v>61.3</v>
      </c>
      <c r="E16" s="12">
        <f>D16-C16</f>
        <v/>
      </c>
      <c r="F16" s="19">
        <f>IFERROR((D16-C16)/C16,"")</f>
        <v/>
      </c>
    </row>
    <row r="17">
      <c r="A17" s="8" t="inlineStr">
        <is>
          <t>Pizza Palmito</t>
        </is>
      </c>
      <c r="B17" s="12" t="n">
        <v>122.2</v>
      </c>
      <c r="C17" s="12">
        <f>B17/2</f>
        <v/>
      </c>
      <c r="D17" s="12" t="n">
        <v>60.71</v>
      </c>
      <c r="E17" s="12">
        <f>D17-C17</f>
        <v/>
      </c>
      <c r="F17" s="19">
        <f>IFERROR((D17-C17)/C17,"")</f>
        <v/>
      </c>
    </row>
    <row r="18">
      <c r="A18" s="8" t="inlineStr">
        <is>
          <t>Pizza Brócolis 2</t>
        </is>
      </c>
      <c r="B18" s="12" t="n">
        <v>109.2</v>
      </c>
      <c r="C18" s="12">
        <f>B18/2</f>
        <v/>
      </c>
      <c r="D18" s="12" t="n">
        <v>54.22</v>
      </c>
      <c r="E18" s="12">
        <f>D18-C18</f>
        <v/>
      </c>
      <c r="F18" s="19">
        <f>IFERROR((D18-C18)/C18,"")</f>
        <v/>
      </c>
    </row>
    <row r="19">
      <c r="A19" s="8" t="inlineStr">
        <is>
          <t>Pizza Brócolis 3</t>
        </is>
      </c>
      <c r="B19" s="12" t="n">
        <v>109.2</v>
      </c>
      <c r="C19" s="12">
        <f>B19/2</f>
        <v/>
      </c>
      <c r="D19" s="12" t="n">
        <v>54.22</v>
      </c>
      <c r="E19" s="12">
        <f>D19-C19</f>
        <v/>
      </c>
      <c r="F19" s="19">
        <f>IFERROR((D19-C19)/C19,"")</f>
        <v/>
      </c>
    </row>
    <row r="20">
      <c r="A20" s="8" t="inlineStr">
        <is>
          <t>Pizza Pepperoni</t>
        </is>
      </c>
      <c r="B20" s="12" t="n">
        <v>109.2</v>
      </c>
      <c r="C20" s="12">
        <f>B20/2</f>
        <v/>
      </c>
      <c r="D20" s="12" t="n">
        <v>54.22</v>
      </c>
      <c r="E20" s="12">
        <f>D20-C20</f>
        <v/>
      </c>
      <c r="F20" s="19">
        <f>IFERROR((D20-C20)/C20,"")</f>
        <v/>
      </c>
    </row>
    <row r="21">
      <c r="A21" s="8" t="inlineStr">
        <is>
          <t>Pizza Calacatu</t>
        </is>
      </c>
      <c r="B21" s="12" t="n">
        <v>107.9</v>
      </c>
      <c r="C21" s="12">
        <f>B21/2</f>
        <v/>
      </c>
      <c r="D21" s="12" t="n">
        <v>53.63</v>
      </c>
      <c r="E21" s="12">
        <f>D21-C21</f>
        <v/>
      </c>
      <c r="F21" s="19">
        <f>IFERROR((D21-C21)/C21,"")</f>
        <v/>
      </c>
    </row>
    <row r="22">
      <c r="A22" s="8" t="inlineStr">
        <is>
          <t>Pizza Napolitana</t>
        </is>
      </c>
      <c r="B22" s="12" t="n">
        <v>93.59999999999999</v>
      </c>
      <c r="C22" s="12">
        <f>B22/2</f>
        <v/>
      </c>
      <c r="D22" s="12" t="n">
        <v>46.55</v>
      </c>
      <c r="E22" s="12">
        <f>D22-C22</f>
        <v/>
      </c>
      <c r="F22" s="19">
        <f>IFERROR((D22-C22)/C22,"")</f>
        <v/>
      </c>
    </row>
    <row r="23">
      <c r="A23" s="8" t="inlineStr">
        <is>
          <t>Pizza Vegetariana</t>
        </is>
      </c>
      <c r="B23" s="12" t="n">
        <v>117</v>
      </c>
      <c r="C23" s="12">
        <f>B23/2</f>
        <v/>
      </c>
      <c r="D23" s="12" t="n">
        <v>58.35</v>
      </c>
      <c r="E23" s="12">
        <f>D23-C23</f>
        <v/>
      </c>
      <c r="F23" s="19">
        <f>IFERROR((D23-C23)/C23,"")</f>
        <v/>
      </c>
    </row>
    <row r="24">
      <c r="A24" s="8" t="inlineStr">
        <is>
          <t>Pizza Toscana</t>
        </is>
      </c>
      <c r="B24" s="12" t="n">
        <v>104</v>
      </c>
      <c r="C24" s="12">
        <f>B24/2</f>
        <v/>
      </c>
      <c r="D24" s="12" t="n">
        <v>51.86</v>
      </c>
      <c r="E24" s="12">
        <f>D24-C24</f>
        <v/>
      </c>
      <c r="F24" s="19">
        <f>IFERROR((D24-C24)/C24,"")</f>
        <v/>
      </c>
    </row>
    <row r="25">
      <c r="A25" s="8" t="inlineStr">
        <is>
          <t>Pizza 5 Queijos</t>
        </is>
      </c>
      <c r="B25" s="12" t="n">
        <v>128.7</v>
      </c>
      <c r="C25" s="12">
        <f>B25/2</f>
        <v/>
      </c>
      <c r="D25" s="12" t="n">
        <v>64.25</v>
      </c>
      <c r="E25" s="12">
        <f>D25-C25</f>
        <v/>
      </c>
      <c r="F25" s="19">
        <f>IFERROR((D25-C25)/C25,"")</f>
        <v/>
      </c>
    </row>
    <row r="26">
      <c r="A26" s="8" t="inlineStr">
        <is>
          <t>Pizza Alcachofra Especial</t>
        </is>
      </c>
      <c r="B26" s="12" t="n">
        <v>128.7</v>
      </c>
      <c r="C26" s="12">
        <f>B26/2</f>
        <v/>
      </c>
      <c r="D26" s="12" t="n">
        <v>64.25</v>
      </c>
      <c r="E26" s="12">
        <f>D26-C26</f>
        <v/>
      </c>
      <c r="F26" s="19">
        <f>IFERROR((D26-C26)/C26,"")</f>
        <v/>
      </c>
    </row>
    <row r="27">
      <c r="A27" s="8" t="inlineStr">
        <is>
          <t>Pizza Carne Seca</t>
        </is>
      </c>
      <c r="B27" s="12" t="n">
        <v>128.7</v>
      </c>
      <c r="C27" s="12">
        <f>B27/2</f>
        <v/>
      </c>
      <c r="D27" s="12" t="n">
        <v>64.25</v>
      </c>
      <c r="E27" s="12">
        <f>D27-C27</f>
        <v/>
      </c>
      <c r="F27" s="19">
        <f>IFERROR((D27-C27)/C27,"")</f>
        <v/>
      </c>
    </row>
    <row r="28">
      <c r="A28" s="8" t="inlineStr">
        <is>
          <t>Pizza Espanhola</t>
        </is>
      </c>
      <c r="B28" s="12" t="n">
        <v>128.7</v>
      </c>
      <c r="C28" s="12">
        <f>B28/2</f>
        <v/>
      </c>
      <c r="D28" s="12" t="n">
        <v>64.25</v>
      </c>
      <c r="E28" s="12">
        <f>D28-C28</f>
        <v/>
      </c>
      <c r="F28" s="19">
        <f>IFERROR((D28-C28)/C28,"")</f>
        <v/>
      </c>
    </row>
    <row r="29">
      <c r="A29" s="8" t="inlineStr">
        <is>
          <t>Pizza Light</t>
        </is>
      </c>
      <c r="B29" s="12" t="n">
        <v>128.7</v>
      </c>
      <c r="C29" s="12">
        <f>B29/2</f>
        <v/>
      </c>
      <c r="D29" s="12" t="n">
        <v>64.25</v>
      </c>
      <c r="E29" s="12">
        <f>D29-C29</f>
        <v/>
      </c>
      <c r="F29" s="19">
        <f>IFERROR((D29-C29)/C29,"")</f>
        <v/>
      </c>
    </row>
    <row r="30">
      <c r="A30" s="8" t="inlineStr">
        <is>
          <t>Pizza Marguerita Especial</t>
        </is>
      </c>
      <c r="B30" s="12" t="n">
        <v>128.7</v>
      </c>
      <c r="C30" s="12">
        <f>B30/2</f>
        <v/>
      </c>
      <c r="D30" s="12" t="n">
        <v>64.25</v>
      </c>
      <c r="E30" s="12">
        <f>D30-C30</f>
        <v/>
      </c>
      <c r="F30" s="19">
        <f>IFERROR((D30-C30)/C30,"")</f>
        <v/>
      </c>
    </row>
    <row r="31">
      <c r="A31" s="8" t="inlineStr">
        <is>
          <t>Pizza Peruana</t>
        </is>
      </c>
      <c r="B31" s="12" t="n">
        <v>128.7</v>
      </c>
      <c r="C31" s="12">
        <f>B31/2</f>
        <v/>
      </c>
      <c r="D31" s="12" t="n">
        <v>64.25</v>
      </c>
      <c r="E31" s="12">
        <f>D31-C31</f>
        <v/>
      </c>
      <c r="F31" s="19">
        <f>IFERROR((D31-C31)/C31,"")</f>
        <v/>
      </c>
    </row>
    <row r="32">
      <c r="A32" s="8" t="inlineStr">
        <is>
          <t>Pizza À Moda Da Casa</t>
        </is>
      </c>
      <c r="B32" s="12" t="n">
        <v>128.7</v>
      </c>
      <c r="C32" s="12">
        <f>B32/2</f>
        <v/>
      </c>
      <c r="D32" s="12" t="n">
        <v>64.25</v>
      </c>
      <c r="E32" s="12">
        <f>D32-C32</f>
        <v/>
      </c>
      <c r="F32" s="19">
        <f>IFERROR((D32-C32)/C32,"")</f>
        <v/>
      </c>
    </row>
    <row r="33">
      <c r="A33" s="8" t="inlineStr">
        <is>
          <t>Pizza Calabresa</t>
        </is>
      </c>
      <c r="B33" s="12" t="n">
        <v>89.7</v>
      </c>
      <c r="C33" s="12">
        <f>B33/2</f>
        <v/>
      </c>
      <c r="D33" s="12" t="n">
        <v>44.78</v>
      </c>
      <c r="E33" s="12">
        <f>D33-C33</f>
        <v/>
      </c>
      <c r="F33" s="19">
        <f>IFERROR((D33-C33)/C33,"")</f>
        <v/>
      </c>
    </row>
    <row r="34">
      <c r="A34" s="8" t="inlineStr">
        <is>
          <t>Pizza Mussarela</t>
        </is>
      </c>
      <c r="B34" s="12" t="n">
        <v>89.7</v>
      </c>
      <c r="C34" s="12">
        <f>B34/2</f>
        <v/>
      </c>
      <c r="D34" s="12" t="n">
        <v>44.78</v>
      </c>
      <c r="E34" s="12">
        <f>D34-C34</f>
        <v/>
      </c>
      <c r="F34" s="19">
        <f>IFERROR((D34-C34)/C34,"")</f>
        <v/>
      </c>
    </row>
    <row r="35">
      <c r="A35" s="8" t="inlineStr">
        <is>
          <t>Pizza Alcachofra</t>
        </is>
      </c>
      <c r="B35" s="12" t="n">
        <v>114.4</v>
      </c>
      <c r="C35" s="12">
        <f>B35/2</f>
        <v/>
      </c>
      <c r="D35" s="12" t="n">
        <v>57.17</v>
      </c>
      <c r="E35" s="12">
        <f>D35-C35</f>
        <v/>
      </c>
      <c r="F35" s="19">
        <f>IFERROR((D35-C35)/C35,"")</f>
        <v/>
      </c>
    </row>
    <row r="36">
      <c r="A36" s="8" t="inlineStr">
        <is>
          <t>Pizza Camarão</t>
        </is>
      </c>
      <c r="B36" s="12" t="n">
        <v>169.9</v>
      </c>
      <c r="C36" s="12">
        <f>B36/2</f>
        <v/>
      </c>
      <c r="D36" s="12" t="n">
        <v>84.95</v>
      </c>
      <c r="E36" s="12">
        <f>D36-C36</f>
        <v/>
      </c>
      <c r="F36" s="19">
        <f>IFERROR((D36-C36)/C36,"")</f>
        <v/>
      </c>
    </row>
    <row r="37">
      <c r="A37" s="8" t="inlineStr">
        <is>
          <t>Pizza Filé Mignon</t>
        </is>
      </c>
      <c r="B37" s="12" t="n">
        <v>168.9</v>
      </c>
      <c r="C37" s="12">
        <f>B37/2</f>
        <v/>
      </c>
      <c r="D37" s="12" t="n">
        <v>84.45</v>
      </c>
      <c r="E37" s="12">
        <f>D37-C37</f>
        <v/>
      </c>
      <c r="F37" s="19">
        <f>IFERROR((D37-C37)/C37,"")</f>
        <v/>
      </c>
    </row>
    <row r="38">
      <c r="A38" s="8" t="inlineStr">
        <is>
          <t>Pizza Abobrinha</t>
        </is>
      </c>
      <c r="B38" s="12" t="n">
        <v>97.5</v>
      </c>
      <c r="C38" s="12">
        <f>B38/2</f>
        <v/>
      </c>
      <c r="D38" s="12" t="n">
        <v>48.91</v>
      </c>
      <c r="E38" s="12">
        <f>D38-C38</f>
        <v/>
      </c>
      <c r="F38" s="19">
        <f>IFERROR((D38-C38)/C38,"")</f>
        <v/>
      </c>
    </row>
    <row r="39">
      <c r="A39" s="8" t="inlineStr">
        <is>
          <t>Pizza Alho Poró</t>
        </is>
      </c>
      <c r="B39" s="12" t="n">
        <v>97.5</v>
      </c>
      <c r="C39" s="12">
        <f>B39/2</f>
        <v/>
      </c>
      <c r="D39" s="12" t="n">
        <v>48.91</v>
      </c>
      <c r="E39" s="12">
        <f>D39-C39</f>
        <v/>
      </c>
      <c r="F39" s="19">
        <f>IFERROR((D39-C39)/C39,"")</f>
        <v/>
      </c>
    </row>
    <row r="40">
      <c r="A40" s="8" t="inlineStr">
        <is>
          <t>Pizza Alho</t>
        </is>
      </c>
      <c r="B40" s="12" t="n">
        <v>97.5</v>
      </c>
      <c r="C40" s="12">
        <f>B40/2</f>
        <v/>
      </c>
      <c r="D40" s="12" t="n">
        <v>48.91</v>
      </c>
      <c r="E40" s="12">
        <f>D40-C40</f>
        <v/>
      </c>
      <c r="F40" s="19">
        <f>IFERROR((D40-C40)/C40,"")</f>
        <v/>
      </c>
    </row>
    <row r="41">
      <c r="A41" s="8" t="inlineStr">
        <is>
          <t>Pizza Executiva</t>
        </is>
      </c>
      <c r="B41" s="12" t="n">
        <v>97.5</v>
      </c>
      <c r="C41" s="12">
        <f>B41/2</f>
        <v/>
      </c>
      <c r="D41" s="12" t="n">
        <v>48.91</v>
      </c>
      <c r="E41" s="12">
        <f>D41-C41</f>
        <v/>
      </c>
      <c r="F41" s="19">
        <f>IFERROR((D41-C41)/C41,"")</f>
        <v/>
      </c>
    </row>
    <row r="42">
      <c r="A42" s="8" t="inlineStr">
        <is>
          <t>Pizza Favorita</t>
        </is>
      </c>
      <c r="B42" s="12" t="n">
        <v>97.5</v>
      </c>
      <c r="C42" s="12">
        <f>B42/2</f>
        <v/>
      </c>
      <c r="D42" s="12" t="n">
        <v>48.91</v>
      </c>
      <c r="E42" s="12">
        <f>D42-C42</f>
        <v/>
      </c>
      <c r="F42" s="19">
        <f>IFERROR((D42-C42)/C42,"")</f>
        <v/>
      </c>
    </row>
    <row r="43">
      <c r="A43" s="8" t="inlineStr">
        <is>
          <t>Pizza Jardineira</t>
        </is>
      </c>
      <c r="B43" s="12" t="n">
        <v>97.5</v>
      </c>
      <c r="C43" s="12">
        <f>B43/2</f>
        <v/>
      </c>
      <c r="D43" s="12" t="n">
        <v>48.91</v>
      </c>
      <c r="E43" s="12">
        <f>D43-C43</f>
        <v/>
      </c>
      <c r="F43" s="19">
        <f>IFERROR((D43-C43)/C43,"")</f>
        <v/>
      </c>
    </row>
    <row r="44">
      <c r="A44" s="8" t="inlineStr">
        <is>
          <t>Pizza Marguerita</t>
        </is>
      </c>
      <c r="B44" s="12" t="n">
        <v>97.5</v>
      </c>
      <c r="C44" s="12">
        <f>B44/2</f>
        <v/>
      </c>
      <c r="D44" s="12" t="n">
        <v>48.91</v>
      </c>
      <c r="E44" s="12">
        <f>D44-C44</f>
        <v/>
      </c>
      <c r="F44" s="19">
        <f>IFERROR((D44-C44)/C44,"")</f>
        <v/>
      </c>
    </row>
    <row r="45">
      <c r="A45" s="8" t="inlineStr">
        <is>
          <t>Pizza Milho</t>
        </is>
      </c>
      <c r="B45" s="12" t="n">
        <v>97.5</v>
      </c>
      <c r="C45" s="12">
        <f>B45/2</f>
        <v/>
      </c>
      <c r="D45" s="12" t="n">
        <v>48.91</v>
      </c>
      <c r="E45" s="12">
        <f>D45-C45</f>
        <v/>
      </c>
      <c r="F45" s="19">
        <f>IFERROR((D45-C45)/C45,"")</f>
        <v/>
      </c>
    </row>
    <row r="46">
      <c r="A46" s="8" t="inlineStr">
        <is>
          <t>Pizza Tomate Seco</t>
        </is>
      </c>
      <c r="B46" s="12" t="n">
        <v>97.5</v>
      </c>
      <c r="C46" s="12">
        <f>B46/2</f>
        <v/>
      </c>
      <c r="D46" s="12" t="n">
        <v>48.91</v>
      </c>
      <c r="E46" s="12">
        <f>D46-C46</f>
        <v/>
      </c>
      <c r="F46" s="19">
        <f>IFERROR((D46-C46)/C46,"")</f>
        <v/>
      </c>
    </row>
    <row r="47">
      <c r="A47" s="8" t="inlineStr">
        <is>
          <t>Pizza Escarola Especial</t>
        </is>
      </c>
      <c r="B47" s="12" t="n">
        <v>106.6</v>
      </c>
      <c r="C47" s="12">
        <f>B47/2</f>
        <v/>
      </c>
      <c r="D47" s="12" t="n">
        <v>53.63</v>
      </c>
      <c r="E47" s="12">
        <f>D47-C47</f>
        <v/>
      </c>
      <c r="F47" s="19">
        <f>IFERROR((D47-C47)/C47,"")</f>
        <v/>
      </c>
    </row>
    <row r="48">
      <c r="A48" s="8" t="inlineStr">
        <is>
          <t>Pizza Baiana</t>
        </is>
      </c>
      <c r="B48" s="12" t="n">
        <v>93.59999999999999</v>
      </c>
      <c r="C48" s="12">
        <f>B48/2</f>
        <v/>
      </c>
      <c r="D48" s="12" t="n">
        <v>47.14</v>
      </c>
      <c r="E48" s="12">
        <f>D48-C48</f>
        <v/>
      </c>
      <c r="F48" s="19">
        <f>IFERROR((D48-C48)/C48,"")</f>
        <v/>
      </c>
    </row>
    <row r="49">
      <c r="A49" s="8" t="inlineStr">
        <is>
          <t>Pizza Berinjela</t>
        </is>
      </c>
      <c r="B49" s="12" t="n">
        <v>93.59999999999999</v>
      </c>
      <c r="C49" s="12">
        <f>B49/2</f>
        <v/>
      </c>
      <c r="D49" s="12" t="n">
        <v>47.14</v>
      </c>
      <c r="E49" s="12">
        <f>D49-C49</f>
        <v/>
      </c>
      <c r="F49" s="19">
        <f>IFERROR((D49-C49)/C49,"")</f>
        <v/>
      </c>
    </row>
    <row r="50">
      <c r="A50" s="8" t="inlineStr">
        <is>
          <t>Pizza Brócolis</t>
        </is>
      </c>
      <c r="B50" s="12" t="n">
        <v>93.59999999999999</v>
      </c>
      <c r="C50" s="12">
        <f>B50/2</f>
        <v/>
      </c>
      <c r="D50" s="12" t="n">
        <v>47.14</v>
      </c>
      <c r="E50" s="12">
        <f>D50-C50</f>
        <v/>
      </c>
      <c r="F50" s="19">
        <f>IFERROR((D50-C50)/C50,"")</f>
        <v/>
      </c>
    </row>
    <row r="51">
      <c r="A51" s="8" t="inlineStr">
        <is>
          <t>Pizza Atum</t>
        </is>
      </c>
      <c r="B51" s="12" t="n">
        <v>89.7</v>
      </c>
      <c r="C51" s="12">
        <f>B51/2</f>
        <v/>
      </c>
      <c r="D51" s="12" t="n">
        <v>45.37</v>
      </c>
      <c r="E51" s="12">
        <f>D51-C51</f>
        <v/>
      </c>
      <c r="F51" s="19">
        <f>IFERROR((D51-C51)/C51,"")</f>
        <v/>
      </c>
    </row>
    <row r="52">
      <c r="A52" s="8" t="inlineStr">
        <is>
          <t>Pizza Catupiry</t>
        </is>
      </c>
      <c r="B52" s="12" t="n">
        <v>91</v>
      </c>
      <c r="C52" s="12">
        <f>B52/2</f>
        <v/>
      </c>
      <c r="D52" s="12" t="n">
        <v>46.55</v>
      </c>
      <c r="E52" s="12">
        <f>D52-C52</f>
        <v/>
      </c>
      <c r="F52" s="19">
        <f>IFERROR((D52-C52)/C52,"")</f>
        <v/>
      </c>
    </row>
    <row r="53">
      <c r="A53" s="8" t="inlineStr">
        <is>
          <t>Atum Especial</t>
        </is>
      </c>
      <c r="B53" s="12" t="n">
        <v>114.4</v>
      </c>
      <c r="C53" s="12">
        <f>B53/2</f>
        <v/>
      </c>
      <c r="D53" s="12" t="n">
        <v>58.35</v>
      </c>
      <c r="E53" s="12">
        <f>D53-C53</f>
        <v/>
      </c>
      <c r="F53" s="19">
        <f>IFERROR((D53-C53)/C53,"")</f>
        <v/>
      </c>
    </row>
    <row r="54">
      <c r="A54" s="8" t="inlineStr">
        <is>
          <t>Pizza Bacon</t>
        </is>
      </c>
      <c r="B54" s="12" t="n">
        <v>101.4</v>
      </c>
      <c r="C54" s="12">
        <f>B54/2</f>
        <v/>
      </c>
      <c r="D54" s="12" t="n">
        <v>51.86</v>
      </c>
      <c r="E54" s="12">
        <f>D54-C54</f>
        <v/>
      </c>
      <c r="F54" s="19">
        <f>IFERROR((D54-C54)/C54,"")</f>
        <v/>
      </c>
    </row>
    <row r="55">
      <c r="A55" s="8" t="inlineStr">
        <is>
          <t>Pizza Búfala</t>
        </is>
      </c>
      <c r="B55" s="12" t="n">
        <v>97.5</v>
      </c>
      <c r="C55" s="12">
        <f>B55/2</f>
        <v/>
      </c>
      <c r="D55" s="12" t="n">
        <v>50.09</v>
      </c>
      <c r="E55" s="12">
        <f>D55-C55</f>
        <v/>
      </c>
      <c r="F55" s="19">
        <f>IFERROR((D55-C55)/C55,"")</f>
        <v/>
      </c>
    </row>
    <row r="56">
      <c r="A56" s="8" t="inlineStr">
        <is>
          <t>Pizza Portuguesa</t>
        </is>
      </c>
      <c r="B56" s="12" t="n">
        <v>97.5</v>
      </c>
      <c r="C56" s="12">
        <f>B56/2</f>
        <v/>
      </c>
      <c r="D56" s="12" t="n">
        <v>50.09</v>
      </c>
      <c r="E56" s="12">
        <f>D56-C56</f>
        <v/>
      </c>
      <c r="F56" s="19">
        <f>IFERROR((D56-C56)/C56,"")</f>
        <v/>
      </c>
    </row>
    <row r="57">
      <c r="A57" s="8" t="inlineStr">
        <is>
          <t>Pizza Classe Especial</t>
        </is>
      </c>
      <c r="B57" s="12" t="n">
        <v>91</v>
      </c>
      <c r="C57" s="12">
        <f>B57/2</f>
        <v/>
      </c>
      <c r="D57" s="12" t="n">
        <v>47.14</v>
      </c>
      <c r="E57" s="12">
        <f>D57-C57</f>
        <v/>
      </c>
      <c r="F57" s="19">
        <f>IFERROR((D57-C57)/C57,"")</f>
        <v/>
      </c>
    </row>
    <row r="58">
      <c r="A58" s="8" t="inlineStr">
        <is>
          <t>Pizza Escarola</t>
        </is>
      </c>
      <c r="B58" s="12" t="n">
        <v>91</v>
      </c>
      <c r="C58" s="12">
        <f>B58/2</f>
        <v/>
      </c>
      <c r="D58" s="12" t="n">
        <v>47.14</v>
      </c>
      <c r="E58" s="12">
        <f>D58-C58</f>
        <v/>
      </c>
      <c r="F58" s="19">
        <f>IFERROR((D58-C58)/C58,"")</f>
        <v/>
      </c>
    </row>
    <row r="59">
      <c r="A59" s="8" t="inlineStr">
        <is>
          <t>Pizza Mista</t>
        </is>
      </c>
      <c r="B59" s="12" t="n">
        <v>91</v>
      </c>
      <c r="C59" s="12">
        <f>B59/2</f>
        <v/>
      </c>
      <c r="D59" s="12" t="n">
        <v>47.14</v>
      </c>
      <c r="E59" s="12">
        <f>D59-C59</f>
        <v/>
      </c>
      <c r="F59" s="19">
        <f>IFERROR((D59-C59)/C59,"")</f>
        <v/>
      </c>
    </row>
    <row r="60">
      <c r="A60" s="8" t="inlineStr">
        <is>
          <t>Pizza Primeira Classe</t>
        </is>
      </c>
      <c r="B60" s="12" t="n">
        <v>97.5</v>
      </c>
      <c r="C60" s="12">
        <f>B60/2</f>
        <v/>
      </c>
      <c r="D60" s="12" t="n">
        <v>50.68</v>
      </c>
      <c r="E60" s="12">
        <f>D60-C60</f>
        <v/>
      </c>
      <c r="F60" s="19">
        <f>IFERROR((D60-C60)/C60,"")</f>
        <v/>
      </c>
    </row>
    <row r="62">
      <c r="A62" s="21" t="inlineStr">
        <is>
          <t>Três valores destoam e parecem erro de cópia: Pizza Classic (R$ 53,63 onde a metade é R$ 64,35), Romana (R$ 64,25 onde é R$ 68,25) e Lombo (R$ 41,24 onde é R$ 44,85). O restante fica dentro de poucos centavos. | Ponto estrutural: como o app soma duas metades, um sabor caro combinado com um barato sai bem abaixo da regra da casa — Camarão + Mussarela sai por R$ 129,74 no app, contra R$ 169,90 pelo "prevalece o valor maior". A maior diferença possível é Camarão + Lombo: R$ 43,70.</t>
        </is>
      </c>
    </row>
    <row r="63"/>
    <row r="64"/>
  </sheetData>
  <mergeCells count="3">
    <mergeCell ref="A2:F2"/>
    <mergeCell ref="A1:F1"/>
    <mergeCell ref="A62:F64"/>
  </mergeCells>
  <conditionalFormatting sqref="E5:E60">
    <cfRule type="cellIs" priority="1" operator="lessThan" dxfId="1">
      <formula>-1</formula>
    </cfRule>
    <cfRule type="cellIs" priority="2" operator="greaterThan" dxfId="3">
      <formula>1</formula>
    </cfRule>
  </conditionalFormatting>
  <conditionalFormatting sqref="F5:F60">
    <cfRule type="cellIs" priority="3" operator="lessThan" dxfId="1">
      <formula>-1</formula>
    </cfRule>
    <cfRule type="cellIs" priority="4" operator="greaterThan" dxfId="3">
      <formula>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2026-09-16T02:10:35Z</dcterms:created>
  <dcterms:modified xmlns:dcterms="http://purl.org/dc/terms/" xmlns:xsi="http://www.w3.org/2001/XMLSchema-instance" xsi:type="dcterms:W3CDTF">2026-09-16T02:10:35Z</dcterms:modified>
</cp:coreProperties>
</file>