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Comparativo" sheetId="3" state="visible" r:id="rId3"/>
    <sheet xmlns:r="http://schemas.openxmlformats.org/officeDocument/2006/relationships" name="Margens" sheetId="4" state="visible" r:id="rId4"/>
    <sheet xmlns:r="http://schemas.openxmlformats.org/officeDocument/2006/relationships" name="Resumo" sheetId="5" state="visible" r:id="rId5"/>
    <sheet xmlns:r="http://schemas.openxmlformats.org/officeDocument/2006/relationships" name="Promoçõ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[Red]-R$ #,##0.00"/>
    <numFmt numFmtId="165" formatCode="0.0%;[Red]-0.0%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33333"/>
      <sz val="12"/>
    </font>
    <font>
      <i val="1"/>
      <color rgb="00666666"/>
    </font>
    <font>
      <b val="1"/>
    </font>
    <font>
      <b val="1"/>
      <color rgb="00EA1D2C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A1D2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Dados" displayName="tDados" ref="A1:E442" headerRowCount="1">
  <autoFilter ref="A1:E442"/>
  <tableColumns count="5">
    <tableColumn id="1" name="Categoria"/>
    <tableColumn id="2" name="Sabor"/>
    <tableColumn id="3" name="Tamanho"/>
    <tableColumn id="4" name="Plataforma"/>
    <tableColumn id="5" name="Preço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Cardápio Artes da Pizza — Comparativo Multi-Canal</t>
        </is>
      </c>
    </row>
    <row r="2">
      <c r="A2" s="2" t="inlineStr">
        <is>
          <t>Fonte: extração do portal iFood Parceiro (2025-06)</t>
        </is>
      </c>
    </row>
    <row r="3">
      <c r="A3" t="inlineStr"/>
    </row>
    <row r="4">
      <c r="A4" s="3" t="inlineStr">
        <is>
          <t>COMO USAR</t>
        </is>
      </c>
    </row>
    <row r="5">
      <c r="A5" t="inlineStr"/>
    </row>
    <row r="6">
      <c r="A6" s="4" t="inlineStr">
        <is>
          <t>1. Aba Dados: fonte normalizada. Preencha as colunas em branco:</t>
        </is>
      </c>
    </row>
    <row r="7">
      <c r="A7" t="inlineStr">
        <is>
          <t xml:space="preserve">   - Preço Brotinho/Grande nas plataformas Loja (Retirada) e Keeta</t>
        </is>
      </c>
    </row>
    <row r="8">
      <c r="A8" t="inlineStr">
        <is>
          <t xml:space="preserve">   - Preço Grande no iFood (segundo tamanho de cada sabor)</t>
        </is>
      </c>
    </row>
    <row r="9">
      <c r="A9" t="inlineStr">
        <is>
          <t xml:space="preserve">   - As demais abas atualizam automaticamente.</t>
        </is>
      </c>
    </row>
    <row r="10">
      <c r="A10" t="inlineStr"/>
    </row>
    <row r="11">
      <c r="A11" s="4" t="inlineStr">
        <is>
          <t>2. Aba Comparativo: pivot lado-a-lado. Mostra diferenças R$/% iFood vs Loja</t>
        </is>
      </c>
    </row>
    <row r="12">
      <c r="A12" t="inlineStr">
        <is>
          <t xml:space="preserve">   e Keeta vs Loja, além do canal mais caro/barato por sabor.</t>
        </is>
      </c>
    </row>
    <row r="13">
      <c r="A13" t="inlineStr"/>
    </row>
    <row r="14">
      <c r="A14" s="4" t="inlineStr">
        <is>
          <t>3. Aba Margens: edite as taxas em B3:B5. O líquido é recalculado.</t>
        </is>
      </c>
    </row>
    <row r="15">
      <c r="A15" t="inlineStr">
        <is>
          <t xml:space="preserve">   Default: iFood 23%, Loja 0%, Keeta 18% — ajuste conforme contrato.</t>
        </is>
      </c>
    </row>
    <row r="16">
      <c r="A16" t="inlineStr"/>
    </row>
    <row r="17">
      <c r="A17" s="4" t="inlineStr">
        <is>
          <t>4. Aba Resumo: estatísticas por categoria e por canal.</t>
        </is>
      </c>
    </row>
    <row r="18">
      <c r="A18" t="inlineStr"/>
    </row>
    <row r="19">
      <c r="A19" s="4" t="inlineStr">
        <is>
          <t>5. Aba Promoções: cadastre campanhas; desconto calculado sozinho.</t>
        </is>
      </c>
    </row>
    <row r="20">
      <c r="A20" t="inlineStr"/>
    </row>
    <row r="21">
      <c r="A21" s="3" t="inlineStr">
        <is>
          <t>ESTADO ATUAL DOS DADOS</t>
        </is>
      </c>
    </row>
    <row r="22">
      <c r="A22" t="inlineStr"/>
    </row>
    <row r="23">
      <c r="A23" t="inlineStr">
        <is>
          <t>- 73 sabores capturados via iFood</t>
        </is>
      </c>
    </row>
    <row r="24">
      <c r="A24" t="inlineStr">
        <is>
          <t>- Preços Brotinho (iFood): 100% preenchidos</t>
        </is>
      </c>
    </row>
    <row r="25">
      <c r="A25" t="inlineStr">
        <is>
          <t>- Preços Grande (iFood): NÃO capturados (a UI do portal bloqueou extração)</t>
        </is>
      </c>
    </row>
    <row r="26">
      <c r="A26" t="inlineStr">
        <is>
          <t>- Preços Loja e Keeta: vazios (preencher manualmente)</t>
        </is>
      </c>
    </row>
    <row r="27">
      <c r="A27" t="inlineStr">
        <is>
          <t>- Sobremesa (Torta Holandesa): tamanho único R$ 14,90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" customWidth="1" min="3" max="3"/>
    <col width="18" customWidth="1" min="4" max="4"/>
    <col width="14" customWidth="1" min="5" max="5"/>
  </cols>
  <sheetData>
    <row r="1">
      <c r="A1" s="5" t="inlineStr">
        <is>
          <t>Categoria</t>
        </is>
      </c>
      <c r="B1" s="5" t="inlineStr">
        <is>
          <t>Sabor</t>
        </is>
      </c>
      <c r="C1" s="5" t="inlineStr">
        <is>
          <t>Tamanho</t>
        </is>
      </c>
      <c r="D1" s="5" t="inlineStr">
        <is>
          <t>Plataforma</t>
        </is>
      </c>
      <c r="E1" s="5" t="inlineStr">
        <is>
          <t>Preço</t>
        </is>
      </c>
    </row>
    <row r="2">
      <c r="A2" t="inlineStr">
        <is>
          <t>Cabe no seu bolso!!!</t>
        </is>
      </c>
      <c r="B2" t="inlineStr">
        <is>
          <t>Atum especial com mussarela</t>
        </is>
      </c>
      <c r="C2" t="inlineStr">
        <is>
          <t>Brotinho</t>
        </is>
      </c>
      <c r="D2" t="inlineStr">
        <is>
          <t>iFood</t>
        </is>
      </c>
      <c r="E2" s="6" t="n">
        <v>88.90000000000001</v>
      </c>
    </row>
    <row r="3">
      <c r="A3" t="inlineStr">
        <is>
          <t>Cabe no seu bolso!!!</t>
        </is>
      </c>
      <c r="B3" t="inlineStr">
        <is>
          <t>Atum especial com mussarela</t>
        </is>
      </c>
      <c r="C3" t="inlineStr">
        <is>
          <t>Brotinho</t>
        </is>
      </c>
      <c r="D3" t="inlineStr">
        <is>
          <t>Loja (Retirada)</t>
        </is>
      </c>
      <c r="E3" s="6" t="n"/>
    </row>
    <row r="4">
      <c r="A4" t="inlineStr">
        <is>
          <t>Cabe no seu bolso!!!</t>
        </is>
      </c>
      <c r="B4" t="inlineStr">
        <is>
          <t>Atum especial com mussarela</t>
        </is>
      </c>
      <c r="C4" t="inlineStr">
        <is>
          <t>Brotinho</t>
        </is>
      </c>
      <c r="D4" t="inlineStr">
        <is>
          <t>Keeta</t>
        </is>
      </c>
      <c r="E4" s="6" t="n"/>
    </row>
    <row r="5">
      <c r="A5" t="inlineStr">
        <is>
          <t>Cabe no seu bolso!!!</t>
        </is>
      </c>
      <c r="B5" t="inlineStr">
        <is>
          <t>Atum especial com mussarela</t>
        </is>
      </c>
      <c r="C5" t="inlineStr">
        <is>
          <t>Grande</t>
        </is>
      </c>
      <c r="D5" t="inlineStr">
        <is>
          <t>iFood</t>
        </is>
      </c>
      <c r="E5" s="6" t="n"/>
    </row>
    <row r="6">
      <c r="A6" t="inlineStr">
        <is>
          <t>Cabe no seu bolso!!!</t>
        </is>
      </c>
      <c r="B6" t="inlineStr">
        <is>
          <t>Atum especial com mussarela</t>
        </is>
      </c>
      <c r="C6" t="inlineStr">
        <is>
          <t>Grande</t>
        </is>
      </c>
      <c r="D6" t="inlineStr">
        <is>
          <t>Loja (Retirada)</t>
        </is>
      </c>
      <c r="E6" s="6" t="n"/>
    </row>
    <row r="7">
      <c r="A7" t="inlineStr">
        <is>
          <t>Cabe no seu bolso!!!</t>
        </is>
      </c>
      <c r="B7" t="inlineStr">
        <is>
          <t>Atum especial com mussarela</t>
        </is>
      </c>
      <c r="C7" t="inlineStr">
        <is>
          <t>Grande</t>
        </is>
      </c>
      <c r="D7" t="inlineStr">
        <is>
          <t>Keeta</t>
        </is>
      </c>
      <c r="E7" s="6" t="n"/>
    </row>
    <row r="8">
      <c r="A8" t="inlineStr">
        <is>
          <t>Cabe no seu bolso!!!</t>
        </is>
      </c>
      <c r="B8" t="inlineStr">
        <is>
          <t>Atum ralado com mussarela</t>
        </is>
      </c>
      <c r="C8" t="inlineStr">
        <is>
          <t>Brotinho</t>
        </is>
      </c>
      <c r="D8" t="inlineStr">
        <is>
          <t>iFood</t>
        </is>
      </c>
      <c r="E8" s="6" t="n">
        <v>72.90000000000001</v>
      </c>
    </row>
    <row r="9">
      <c r="A9" t="inlineStr">
        <is>
          <t>Cabe no seu bolso!!!</t>
        </is>
      </c>
      <c r="B9" t="inlineStr">
        <is>
          <t>Atum ralado com mussarela</t>
        </is>
      </c>
      <c r="C9" t="inlineStr">
        <is>
          <t>Brotinho</t>
        </is>
      </c>
      <c r="D9" t="inlineStr">
        <is>
          <t>Loja (Retirada)</t>
        </is>
      </c>
      <c r="E9" s="6" t="n"/>
    </row>
    <row r="10">
      <c r="A10" t="inlineStr">
        <is>
          <t>Cabe no seu bolso!!!</t>
        </is>
      </c>
      <c r="B10" t="inlineStr">
        <is>
          <t>Atum ralado com mussarela</t>
        </is>
      </c>
      <c r="C10" t="inlineStr">
        <is>
          <t>Brotinho</t>
        </is>
      </c>
      <c r="D10" t="inlineStr">
        <is>
          <t>Keeta</t>
        </is>
      </c>
      <c r="E10" s="6" t="n"/>
    </row>
    <row r="11">
      <c r="A11" t="inlineStr">
        <is>
          <t>Cabe no seu bolso!!!</t>
        </is>
      </c>
      <c r="B11" t="inlineStr">
        <is>
          <t>Atum ralado com mussarela</t>
        </is>
      </c>
      <c r="C11" t="inlineStr">
        <is>
          <t>Grande</t>
        </is>
      </c>
      <c r="D11" t="inlineStr">
        <is>
          <t>iFood</t>
        </is>
      </c>
      <c r="E11" s="6" t="n"/>
    </row>
    <row r="12">
      <c r="A12" t="inlineStr">
        <is>
          <t>Cabe no seu bolso!!!</t>
        </is>
      </c>
      <c r="B12" t="inlineStr">
        <is>
          <t>Atum ralado com mussarela</t>
        </is>
      </c>
      <c r="C12" t="inlineStr">
        <is>
          <t>Grande</t>
        </is>
      </c>
      <c r="D12" t="inlineStr">
        <is>
          <t>Loja (Retirada)</t>
        </is>
      </c>
      <c r="E12" s="6" t="n"/>
    </row>
    <row r="13">
      <c r="A13" t="inlineStr">
        <is>
          <t>Cabe no seu bolso!!!</t>
        </is>
      </c>
      <c r="B13" t="inlineStr">
        <is>
          <t>Atum ralado com mussarela</t>
        </is>
      </c>
      <c r="C13" t="inlineStr">
        <is>
          <t>Grande</t>
        </is>
      </c>
      <c r="D13" t="inlineStr">
        <is>
          <t>Keeta</t>
        </is>
      </c>
      <c r="E13" s="6" t="n"/>
    </row>
    <row r="14">
      <c r="A14" t="inlineStr">
        <is>
          <t>Cabe no seu bolso!!!</t>
        </is>
      </c>
      <c r="B14" t="inlineStr">
        <is>
          <t>Pizza Atum</t>
        </is>
      </c>
      <c r="C14" t="inlineStr">
        <is>
          <t>Brotinho</t>
        </is>
      </c>
      <c r="D14" t="inlineStr">
        <is>
          <t>iFood</t>
        </is>
      </c>
      <c r="E14" s="6" t="n">
        <v>58.9</v>
      </c>
    </row>
    <row r="15">
      <c r="A15" t="inlineStr">
        <is>
          <t>Cabe no seu bolso!!!</t>
        </is>
      </c>
      <c r="B15" t="inlineStr">
        <is>
          <t>Pizza Atum</t>
        </is>
      </c>
      <c r="C15" t="inlineStr">
        <is>
          <t>Brotinho</t>
        </is>
      </c>
      <c r="D15" t="inlineStr">
        <is>
          <t>Loja (Retirada)</t>
        </is>
      </c>
      <c r="E15" s="6" t="n"/>
    </row>
    <row r="16">
      <c r="A16" t="inlineStr">
        <is>
          <t>Cabe no seu bolso!!!</t>
        </is>
      </c>
      <c r="B16" t="inlineStr">
        <is>
          <t>Pizza Atum</t>
        </is>
      </c>
      <c r="C16" t="inlineStr">
        <is>
          <t>Brotinho</t>
        </is>
      </c>
      <c r="D16" t="inlineStr">
        <is>
          <t>Keeta</t>
        </is>
      </c>
      <c r="E16" s="6" t="n"/>
    </row>
    <row r="17">
      <c r="A17" t="inlineStr">
        <is>
          <t>Cabe no seu bolso!!!</t>
        </is>
      </c>
      <c r="B17" t="inlineStr">
        <is>
          <t>Pizza Atum</t>
        </is>
      </c>
      <c r="C17" t="inlineStr">
        <is>
          <t>Grande</t>
        </is>
      </c>
      <c r="D17" t="inlineStr">
        <is>
          <t>iFood</t>
        </is>
      </c>
      <c r="E17" s="6" t="n"/>
    </row>
    <row r="18">
      <c r="A18" t="inlineStr">
        <is>
          <t>Cabe no seu bolso!!!</t>
        </is>
      </c>
      <c r="B18" t="inlineStr">
        <is>
          <t>Pizza Atum</t>
        </is>
      </c>
      <c r="C18" t="inlineStr">
        <is>
          <t>Grande</t>
        </is>
      </c>
      <c r="D18" t="inlineStr">
        <is>
          <t>Loja (Retirada)</t>
        </is>
      </c>
      <c r="E18" s="6" t="n"/>
    </row>
    <row r="19">
      <c r="A19" t="inlineStr">
        <is>
          <t>Cabe no seu bolso!!!</t>
        </is>
      </c>
      <c r="B19" t="inlineStr">
        <is>
          <t>Pizza Atum</t>
        </is>
      </c>
      <c r="C19" t="inlineStr">
        <is>
          <t>Grande</t>
        </is>
      </c>
      <c r="D19" t="inlineStr">
        <is>
          <t>Keeta</t>
        </is>
      </c>
      <c r="E19" s="6" t="n"/>
    </row>
    <row r="20">
      <c r="A20" t="inlineStr">
        <is>
          <t>Cabe no seu bolso!!!</t>
        </is>
      </c>
      <c r="B20" t="inlineStr">
        <is>
          <t>Pizza Lombo</t>
        </is>
      </c>
      <c r="C20" t="inlineStr">
        <is>
          <t>Brotinho</t>
        </is>
      </c>
      <c r="D20" t="inlineStr">
        <is>
          <t>iFood</t>
        </is>
      </c>
      <c r="E20" s="6" t="n">
        <v>58.9</v>
      </c>
    </row>
    <row r="21">
      <c r="A21" t="inlineStr">
        <is>
          <t>Cabe no seu bolso!!!</t>
        </is>
      </c>
      <c r="B21" t="inlineStr">
        <is>
          <t>Pizza Lombo</t>
        </is>
      </c>
      <c r="C21" t="inlineStr">
        <is>
          <t>Brotinho</t>
        </is>
      </c>
      <c r="D21" t="inlineStr">
        <is>
          <t>Loja (Retirada)</t>
        </is>
      </c>
      <c r="E21" s="6" t="n"/>
    </row>
    <row r="22">
      <c r="A22" t="inlineStr">
        <is>
          <t>Cabe no seu bolso!!!</t>
        </is>
      </c>
      <c r="B22" t="inlineStr">
        <is>
          <t>Pizza Lombo</t>
        </is>
      </c>
      <c r="C22" t="inlineStr">
        <is>
          <t>Brotinho</t>
        </is>
      </c>
      <c r="D22" t="inlineStr">
        <is>
          <t>Keeta</t>
        </is>
      </c>
      <c r="E22" s="6" t="n"/>
    </row>
    <row r="23">
      <c r="A23" t="inlineStr">
        <is>
          <t>Cabe no seu bolso!!!</t>
        </is>
      </c>
      <c r="B23" t="inlineStr">
        <is>
          <t>Pizza Lombo</t>
        </is>
      </c>
      <c r="C23" t="inlineStr">
        <is>
          <t>Grande</t>
        </is>
      </c>
      <c r="D23" t="inlineStr">
        <is>
          <t>iFood</t>
        </is>
      </c>
      <c r="E23" s="6" t="n"/>
    </row>
    <row r="24">
      <c r="A24" t="inlineStr">
        <is>
          <t>Cabe no seu bolso!!!</t>
        </is>
      </c>
      <c r="B24" t="inlineStr">
        <is>
          <t>Pizza Lombo</t>
        </is>
      </c>
      <c r="C24" t="inlineStr">
        <is>
          <t>Grande</t>
        </is>
      </c>
      <c r="D24" t="inlineStr">
        <is>
          <t>Loja (Retirada)</t>
        </is>
      </c>
      <c r="E24" s="6" t="n"/>
    </row>
    <row r="25">
      <c r="A25" t="inlineStr">
        <is>
          <t>Cabe no seu bolso!!!</t>
        </is>
      </c>
      <c r="B25" t="inlineStr">
        <is>
          <t>Pizza Lombo</t>
        </is>
      </c>
      <c r="C25" t="inlineStr">
        <is>
          <t>Grande</t>
        </is>
      </c>
      <c r="D25" t="inlineStr">
        <is>
          <t>Keeta</t>
        </is>
      </c>
      <c r="E25" s="6" t="n"/>
    </row>
    <row r="26">
      <c r="A26" t="inlineStr">
        <is>
          <t>Cabe no seu bolso!!!</t>
        </is>
      </c>
      <c r="B26" t="inlineStr">
        <is>
          <t>Pizza Mussarela</t>
        </is>
      </c>
      <c r="C26" t="inlineStr">
        <is>
          <t>Brotinho</t>
        </is>
      </c>
      <c r="D26" t="inlineStr">
        <is>
          <t>iFood</t>
        </is>
      </c>
      <c r="E26" s="6" t="n">
        <v>58.9</v>
      </c>
    </row>
    <row r="27">
      <c r="A27" t="inlineStr">
        <is>
          <t>Cabe no seu bolso!!!</t>
        </is>
      </c>
      <c r="B27" t="inlineStr">
        <is>
          <t>Pizza Mussarela</t>
        </is>
      </c>
      <c r="C27" t="inlineStr">
        <is>
          <t>Brotinho</t>
        </is>
      </c>
      <c r="D27" t="inlineStr">
        <is>
          <t>Loja (Retirada)</t>
        </is>
      </c>
      <c r="E27" s="6" t="n"/>
    </row>
    <row r="28">
      <c r="A28" t="inlineStr">
        <is>
          <t>Cabe no seu bolso!!!</t>
        </is>
      </c>
      <c r="B28" t="inlineStr">
        <is>
          <t>Pizza Mussarela</t>
        </is>
      </c>
      <c r="C28" t="inlineStr">
        <is>
          <t>Brotinho</t>
        </is>
      </c>
      <c r="D28" t="inlineStr">
        <is>
          <t>Keeta</t>
        </is>
      </c>
      <c r="E28" s="6" t="n"/>
    </row>
    <row r="29">
      <c r="A29" t="inlineStr">
        <is>
          <t>Cabe no seu bolso!!!</t>
        </is>
      </c>
      <c r="B29" t="inlineStr">
        <is>
          <t>Pizza Mussarela</t>
        </is>
      </c>
      <c r="C29" t="inlineStr">
        <is>
          <t>Grande</t>
        </is>
      </c>
      <c r="D29" t="inlineStr">
        <is>
          <t>iFood</t>
        </is>
      </c>
      <c r="E29" s="6" t="n"/>
    </row>
    <row r="30">
      <c r="A30" t="inlineStr">
        <is>
          <t>Cabe no seu bolso!!!</t>
        </is>
      </c>
      <c r="B30" t="inlineStr">
        <is>
          <t>Pizza Mussarela</t>
        </is>
      </c>
      <c r="C30" t="inlineStr">
        <is>
          <t>Grande</t>
        </is>
      </c>
      <c r="D30" t="inlineStr">
        <is>
          <t>Loja (Retirada)</t>
        </is>
      </c>
      <c r="E30" s="6" t="n"/>
    </row>
    <row r="31">
      <c r="A31" t="inlineStr">
        <is>
          <t>Cabe no seu bolso!!!</t>
        </is>
      </c>
      <c r="B31" t="inlineStr">
        <is>
          <t>Pizza Mussarela</t>
        </is>
      </c>
      <c r="C31" t="inlineStr">
        <is>
          <t>Grande</t>
        </is>
      </c>
      <c r="D31" t="inlineStr">
        <is>
          <t>Keeta</t>
        </is>
      </c>
      <c r="E31" s="6" t="n"/>
    </row>
    <row r="32">
      <c r="A32" t="inlineStr">
        <is>
          <t>Imperdíveis Pizzas salgadas</t>
        </is>
      </c>
      <c r="B32" t="inlineStr">
        <is>
          <t>Pizza Vegetariana</t>
        </is>
      </c>
      <c r="C32" t="inlineStr">
        <is>
          <t>Brotinho</t>
        </is>
      </c>
      <c r="D32" t="inlineStr">
        <is>
          <t>iFood</t>
        </is>
      </c>
      <c r="E32" s="6" t="n">
        <v>75.90000000000001</v>
      </c>
    </row>
    <row r="33">
      <c r="A33" t="inlineStr">
        <is>
          <t>Imperdíveis Pizzas salgadas</t>
        </is>
      </c>
      <c r="B33" t="inlineStr">
        <is>
          <t>Pizza Vegetariana</t>
        </is>
      </c>
      <c r="C33" t="inlineStr">
        <is>
          <t>Brotinho</t>
        </is>
      </c>
      <c r="D33" t="inlineStr">
        <is>
          <t>Loja (Retirada)</t>
        </is>
      </c>
      <c r="E33" s="6" t="n"/>
    </row>
    <row r="34">
      <c r="A34" t="inlineStr">
        <is>
          <t>Imperdíveis Pizzas salgadas</t>
        </is>
      </c>
      <c r="B34" t="inlineStr">
        <is>
          <t>Pizza Vegetariana</t>
        </is>
      </c>
      <c r="C34" t="inlineStr">
        <is>
          <t>Brotinho</t>
        </is>
      </c>
      <c r="D34" t="inlineStr">
        <is>
          <t>Keeta</t>
        </is>
      </c>
      <c r="E34" s="6" t="n"/>
    </row>
    <row r="35">
      <c r="A35" t="inlineStr">
        <is>
          <t>Imperdíveis Pizzas salgadas</t>
        </is>
      </c>
      <c r="B35" t="inlineStr">
        <is>
          <t>Pizza Vegetariana</t>
        </is>
      </c>
      <c r="C35" t="inlineStr">
        <is>
          <t>Grande</t>
        </is>
      </c>
      <c r="D35" t="inlineStr">
        <is>
          <t>iFood</t>
        </is>
      </c>
      <c r="E35" s="6" t="n"/>
    </row>
    <row r="36">
      <c r="A36" t="inlineStr">
        <is>
          <t>Imperdíveis Pizzas salgadas</t>
        </is>
      </c>
      <c r="B36" t="inlineStr">
        <is>
          <t>Pizza Vegetariana</t>
        </is>
      </c>
      <c r="C36" t="inlineStr">
        <is>
          <t>Grande</t>
        </is>
      </c>
      <c r="D36" t="inlineStr">
        <is>
          <t>Loja (Retirada)</t>
        </is>
      </c>
      <c r="E36" s="6" t="n"/>
    </row>
    <row r="37">
      <c r="A37" t="inlineStr">
        <is>
          <t>Imperdíveis Pizzas salgadas</t>
        </is>
      </c>
      <c r="B37" t="inlineStr">
        <is>
          <t>Pizza Vegetariana</t>
        </is>
      </c>
      <c r="C37" t="inlineStr">
        <is>
          <t>Grande</t>
        </is>
      </c>
      <c r="D37" t="inlineStr">
        <is>
          <t>Keeta</t>
        </is>
      </c>
      <c r="E37" s="6" t="n"/>
    </row>
    <row r="38">
      <c r="A38" t="inlineStr">
        <is>
          <t>Imperdíveis Pizzas salgadas</t>
        </is>
      </c>
      <c r="B38" t="inlineStr">
        <is>
          <t>Pizza Toscana</t>
        </is>
      </c>
      <c r="C38" t="inlineStr">
        <is>
          <t>Brotinho</t>
        </is>
      </c>
      <c r="D38" t="inlineStr">
        <is>
          <t>iFood</t>
        </is>
      </c>
      <c r="E38" s="6" t="n">
        <v>65.90000000000001</v>
      </c>
    </row>
    <row r="39">
      <c r="A39" t="inlineStr">
        <is>
          <t>Imperdíveis Pizzas salgadas</t>
        </is>
      </c>
      <c r="B39" t="inlineStr">
        <is>
          <t>Pizza Toscana</t>
        </is>
      </c>
      <c r="C39" t="inlineStr">
        <is>
          <t>Brotinho</t>
        </is>
      </c>
      <c r="D39" t="inlineStr">
        <is>
          <t>Loja (Retirada)</t>
        </is>
      </c>
      <c r="E39" s="6" t="n"/>
    </row>
    <row r="40">
      <c r="A40" t="inlineStr">
        <is>
          <t>Imperdíveis Pizzas salgadas</t>
        </is>
      </c>
      <c r="B40" t="inlineStr">
        <is>
          <t>Pizza Toscana</t>
        </is>
      </c>
      <c r="C40" t="inlineStr">
        <is>
          <t>Brotinho</t>
        </is>
      </c>
      <c r="D40" t="inlineStr">
        <is>
          <t>Keeta</t>
        </is>
      </c>
      <c r="E40" s="6" t="n"/>
    </row>
    <row r="41">
      <c r="A41" t="inlineStr">
        <is>
          <t>Imperdíveis Pizzas salgadas</t>
        </is>
      </c>
      <c r="B41" t="inlineStr">
        <is>
          <t>Pizza Toscana</t>
        </is>
      </c>
      <c r="C41" t="inlineStr">
        <is>
          <t>Grande</t>
        </is>
      </c>
      <c r="D41" t="inlineStr">
        <is>
          <t>iFood</t>
        </is>
      </c>
      <c r="E41" s="6" t="n"/>
    </row>
    <row r="42">
      <c r="A42" t="inlineStr">
        <is>
          <t>Imperdíveis Pizzas salgadas</t>
        </is>
      </c>
      <c r="B42" t="inlineStr">
        <is>
          <t>Pizza Toscana</t>
        </is>
      </c>
      <c r="C42" t="inlineStr">
        <is>
          <t>Grande</t>
        </is>
      </c>
      <c r="D42" t="inlineStr">
        <is>
          <t>Loja (Retirada)</t>
        </is>
      </c>
      <c r="E42" s="6" t="n"/>
    </row>
    <row r="43">
      <c r="A43" t="inlineStr">
        <is>
          <t>Imperdíveis Pizzas salgadas</t>
        </is>
      </c>
      <c r="B43" t="inlineStr">
        <is>
          <t>Pizza Toscana</t>
        </is>
      </c>
      <c r="C43" t="inlineStr">
        <is>
          <t>Grande</t>
        </is>
      </c>
      <c r="D43" t="inlineStr">
        <is>
          <t>Keeta</t>
        </is>
      </c>
      <c r="E43" s="6" t="n"/>
    </row>
    <row r="44">
      <c r="A44" t="inlineStr">
        <is>
          <t>Imperdíveis Pizzas salgadas</t>
        </is>
      </c>
      <c r="B44" t="inlineStr">
        <is>
          <t>Pizza Tomate Seco</t>
        </is>
      </c>
      <c r="C44" t="inlineStr">
        <is>
          <t>Brotinho</t>
        </is>
      </c>
      <c r="D44" t="inlineStr">
        <is>
          <t>iFood</t>
        </is>
      </c>
      <c r="E44" s="6" t="n">
        <v>63.9</v>
      </c>
    </row>
    <row r="45">
      <c r="A45" t="inlineStr">
        <is>
          <t>Imperdíveis Pizzas salgadas</t>
        </is>
      </c>
      <c r="B45" t="inlineStr">
        <is>
          <t>Pizza Tomate Seco</t>
        </is>
      </c>
      <c r="C45" t="inlineStr">
        <is>
          <t>Brotinho</t>
        </is>
      </c>
      <c r="D45" t="inlineStr">
        <is>
          <t>Loja (Retirada)</t>
        </is>
      </c>
      <c r="E45" s="6" t="n"/>
    </row>
    <row r="46">
      <c r="A46" t="inlineStr">
        <is>
          <t>Imperdíveis Pizzas salgadas</t>
        </is>
      </c>
      <c r="B46" t="inlineStr">
        <is>
          <t>Pizza Tomate Seco</t>
        </is>
      </c>
      <c r="C46" t="inlineStr">
        <is>
          <t>Brotinho</t>
        </is>
      </c>
      <c r="D46" t="inlineStr">
        <is>
          <t>Keeta</t>
        </is>
      </c>
      <c r="E46" s="6" t="n"/>
    </row>
    <row r="47">
      <c r="A47" t="inlineStr">
        <is>
          <t>Imperdíveis Pizzas salgadas</t>
        </is>
      </c>
      <c r="B47" t="inlineStr">
        <is>
          <t>Pizza Tomate Seco</t>
        </is>
      </c>
      <c r="C47" t="inlineStr">
        <is>
          <t>Grande</t>
        </is>
      </c>
      <c r="D47" t="inlineStr">
        <is>
          <t>iFood</t>
        </is>
      </c>
      <c r="E47" s="6" t="n"/>
    </row>
    <row r="48">
      <c r="A48" t="inlineStr">
        <is>
          <t>Imperdíveis Pizzas salgadas</t>
        </is>
      </c>
      <c r="B48" t="inlineStr">
        <is>
          <t>Pizza Tomate Seco</t>
        </is>
      </c>
      <c r="C48" t="inlineStr">
        <is>
          <t>Grande</t>
        </is>
      </c>
      <c r="D48" t="inlineStr">
        <is>
          <t>Loja (Retirada)</t>
        </is>
      </c>
      <c r="E48" s="6" t="n"/>
    </row>
    <row r="49">
      <c r="A49" t="inlineStr">
        <is>
          <t>Imperdíveis Pizzas salgadas</t>
        </is>
      </c>
      <c r="B49" t="inlineStr">
        <is>
          <t>Pizza Tomate Seco</t>
        </is>
      </c>
      <c r="C49" t="inlineStr">
        <is>
          <t>Grande</t>
        </is>
      </c>
      <c r="D49" t="inlineStr">
        <is>
          <t>Keeta</t>
        </is>
      </c>
      <c r="E49" s="6" t="n"/>
    </row>
    <row r="50">
      <c r="A50" t="inlineStr">
        <is>
          <t>Imperdíveis Pizzas salgadas</t>
        </is>
      </c>
      <c r="B50" t="inlineStr">
        <is>
          <t>Pizza Strogonoff</t>
        </is>
      </c>
      <c r="C50" t="inlineStr">
        <is>
          <t>Brotinho</t>
        </is>
      </c>
      <c r="D50" t="inlineStr">
        <is>
          <t>iFood</t>
        </is>
      </c>
      <c r="E50" s="6" t="n">
        <v>96.90000000000001</v>
      </c>
    </row>
    <row r="51">
      <c r="A51" t="inlineStr">
        <is>
          <t>Imperdíveis Pizzas salgadas</t>
        </is>
      </c>
      <c r="B51" t="inlineStr">
        <is>
          <t>Pizza Strogonoff</t>
        </is>
      </c>
      <c r="C51" t="inlineStr">
        <is>
          <t>Brotinho</t>
        </is>
      </c>
      <c r="D51" t="inlineStr">
        <is>
          <t>Loja (Retirada)</t>
        </is>
      </c>
      <c r="E51" s="6" t="n"/>
    </row>
    <row r="52">
      <c r="A52" t="inlineStr">
        <is>
          <t>Imperdíveis Pizzas salgadas</t>
        </is>
      </c>
      <c r="B52" t="inlineStr">
        <is>
          <t>Pizza Strogonoff</t>
        </is>
      </c>
      <c r="C52" t="inlineStr">
        <is>
          <t>Brotinho</t>
        </is>
      </c>
      <c r="D52" t="inlineStr">
        <is>
          <t>Keeta</t>
        </is>
      </c>
      <c r="E52" s="6" t="n"/>
    </row>
    <row r="53">
      <c r="A53" t="inlineStr">
        <is>
          <t>Imperdíveis Pizzas salgadas</t>
        </is>
      </c>
      <c r="B53" t="inlineStr">
        <is>
          <t>Pizza Strogonoff</t>
        </is>
      </c>
      <c r="C53" t="inlineStr">
        <is>
          <t>Grande</t>
        </is>
      </c>
      <c r="D53" t="inlineStr">
        <is>
          <t>iFood</t>
        </is>
      </c>
      <c r="E53" s="6" t="n"/>
    </row>
    <row r="54">
      <c r="A54" t="inlineStr">
        <is>
          <t>Imperdíveis Pizzas salgadas</t>
        </is>
      </c>
      <c r="B54" t="inlineStr">
        <is>
          <t>Pizza Strogonoff</t>
        </is>
      </c>
      <c r="C54" t="inlineStr">
        <is>
          <t>Grande</t>
        </is>
      </c>
      <c r="D54" t="inlineStr">
        <is>
          <t>Loja (Retirada)</t>
        </is>
      </c>
      <c r="E54" s="6" t="n"/>
    </row>
    <row r="55">
      <c r="A55" t="inlineStr">
        <is>
          <t>Imperdíveis Pizzas salgadas</t>
        </is>
      </c>
      <c r="B55" t="inlineStr">
        <is>
          <t>Pizza Strogonoff</t>
        </is>
      </c>
      <c r="C55" t="inlineStr">
        <is>
          <t>Grande</t>
        </is>
      </c>
      <c r="D55" t="inlineStr">
        <is>
          <t>Keeta</t>
        </is>
      </c>
      <c r="E55" s="6" t="n"/>
    </row>
    <row r="56">
      <c r="A56" t="inlineStr">
        <is>
          <t>Imperdíveis Pizzas salgadas</t>
        </is>
      </c>
      <c r="B56" t="inlineStr">
        <is>
          <t>Pizza Siciliana</t>
        </is>
      </c>
      <c r="C56" t="inlineStr">
        <is>
          <t>Brotinho</t>
        </is>
      </c>
      <c r="D56" t="inlineStr">
        <is>
          <t>iFood</t>
        </is>
      </c>
      <c r="E56" s="6" t="n">
        <v>72.90000000000001</v>
      </c>
    </row>
    <row r="57">
      <c r="A57" t="inlineStr">
        <is>
          <t>Imperdíveis Pizzas salgadas</t>
        </is>
      </c>
      <c r="B57" t="inlineStr">
        <is>
          <t>Pizza Siciliana</t>
        </is>
      </c>
      <c r="C57" t="inlineStr">
        <is>
          <t>Brotinho</t>
        </is>
      </c>
      <c r="D57" t="inlineStr">
        <is>
          <t>Loja (Retirada)</t>
        </is>
      </c>
      <c r="E57" s="6" t="n"/>
    </row>
    <row r="58">
      <c r="A58" t="inlineStr">
        <is>
          <t>Imperdíveis Pizzas salgadas</t>
        </is>
      </c>
      <c r="B58" t="inlineStr">
        <is>
          <t>Pizza Siciliana</t>
        </is>
      </c>
      <c r="C58" t="inlineStr">
        <is>
          <t>Brotinho</t>
        </is>
      </c>
      <c r="D58" t="inlineStr">
        <is>
          <t>Keeta</t>
        </is>
      </c>
      <c r="E58" s="6" t="n"/>
    </row>
    <row r="59">
      <c r="A59" t="inlineStr">
        <is>
          <t>Imperdíveis Pizzas salgadas</t>
        </is>
      </c>
      <c r="B59" t="inlineStr">
        <is>
          <t>Pizza Siciliana</t>
        </is>
      </c>
      <c r="C59" t="inlineStr">
        <is>
          <t>Grande</t>
        </is>
      </c>
      <c r="D59" t="inlineStr">
        <is>
          <t>iFood</t>
        </is>
      </c>
      <c r="E59" s="6" t="n"/>
    </row>
    <row r="60">
      <c r="A60" t="inlineStr">
        <is>
          <t>Imperdíveis Pizzas salgadas</t>
        </is>
      </c>
      <c r="B60" t="inlineStr">
        <is>
          <t>Pizza Siciliana</t>
        </is>
      </c>
      <c r="C60" t="inlineStr">
        <is>
          <t>Grande</t>
        </is>
      </c>
      <c r="D60" t="inlineStr">
        <is>
          <t>Loja (Retirada)</t>
        </is>
      </c>
      <c r="E60" s="6" t="n"/>
    </row>
    <row r="61">
      <c r="A61" t="inlineStr">
        <is>
          <t>Imperdíveis Pizzas salgadas</t>
        </is>
      </c>
      <c r="B61" t="inlineStr">
        <is>
          <t>Pizza Siciliana</t>
        </is>
      </c>
      <c r="C61" t="inlineStr">
        <is>
          <t>Grande</t>
        </is>
      </c>
      <c r="D61" t="inlineStr">
        <is>
          <t>Keeta</t>
        </is>
      </c>
      <c r="E61" s="6" t="n"/>
    </row>
    <row r="62">
      <c r="A62" t="inlineStr">
        <is>
          <t>Imperdíveis Pizzas salgadas</t>
        </is>
      </c>
      <c r="B62" t="inlineStr">
        <is>
          <t>Pizza Rúcula</t>
        </is>
      </c>
      <c r="C62" t="inlineStr">
        <is>
          <t>Brotinho</t>
        </is>
      </c>
      <c r="D62" t="inlineStr">
        <is>
          <t>iFood</t>
        </is>
      </c>
      <c r="E62" s="6" t="n">
        <v>80.90000000000001</v>
      </c>
    </row>
    <row r="63">
      <c r="A63" t="inlineStr">
        <is>
          <t>Imperdíveis Pizzas salgadas</t>
        </is>
      </c>
      <c r="B63" t="inlineStr">
        <is>
          <t>Pizza Rúcula</t>
        </is>
      </c>
      <c r="C63" t="inlineStr">
        <is>
          <t>Brotinho</t>
        </is>
      </c>
      <c r="D63" t="inlineStr">
        <is>
          <t>Loja (Retirada)</t>
        </is>
      </c>
      <c r="E63" s="6" t="n"/>
    </row>
    <row r="64">
      <c r="A64" t="inlineStr">
        <is>
          <t>Imperdíveis Pizzas salgadas</t>
        </is>
      </c>
      <c r="B64" t="inlineStr">
        <is>
          <t>Pizza Rúcula</t>
        </is>
      </c>
      <c r="C64" t="inlineStr">
        <is>
          <t>Brotinho</t>
        </is>
      </c>
      <c r="D64" t="inlineStr">
        <is>
          <t>Keeta</t>
        </is>
      </c>
      <c r="E64" s="6" t="n"/>
    </row>
    <row r="65">
      <c r="A65" t="inlineStr">
        <is>
          <t>Imperdíveis Pizzas salgadas</t>
        </is>
      </c>
      <c r="B65" t="inlineStr">
        <is>
          <t>Pizza Rúcula</t>
        </is>
      </c>
      <c r="C65" t="inlineStr">
        <is>
          <t>Grande</t>
        </is>
      </c>
      <c r="D65" t="inlineStr">
        <is>
          <t>iFood</t>
        </is>
      </c>
      <c r="E65" s="6" t="n"/>
    </row>
    <row r="66">
      <c r="A66" t="inlineStr">
        <is>
          <t>Imperdíveis Pizzas salgadas</t>
        </is>
      </c>
      <c r="B66" t="inlineStr">
        <is>
          <t>Pizza Rúcula</t>
        </is>
      </c>
      <c r="C66" t="inlineStr">
        <is>
          <t>Grande</t>
        </is>
      </c>
      <c r="D66" t="inlineStr">
        <is>
          <t>Loja (Retirada)</t>
        </is>
      </c>
      <c r="E66" s="6" t="n"/>
    </row>
    <row r="67">
      <c r="A67" t="inlineStr">
        <is>
          <t>Imperdíveis Pizzas salgadas</t>
        </is>
      </c>
      <c r="B67" t="inlineStr">
        <is>
          <t>Pizza Rúcula</t>
        </is>
      </c>
      <c r="C67" t="inlineStr">
        <is>
          <t>Grande</t>
        </is>
      </c>
      <c r="D67" t="inlineStr">
        <is>
          <t>Keeta</t>
        </is>
      </c>
      <c r="E67" s="6" t="n"/>
    </row>
    <row r="68">
      <c r="A68" t="inlineStr">
        <is>
          <t>Imperdíveis Pizzas salgadas</t>
        </is>
      </c>
      <c r="B68" t="inlineStr">
        <is>
          <t>Pizza Romana</t>
        </is>
      </c>
      <c r="C68" t="inlineStr">
        <is>
          <t>Brotinho</t>
        </is>
      </c>
      <c r="D68" t="inlineStr">
        <is>
          <t>iFood</t>
        </is>
      </c>
      <c r="E68" s="6" t="n">
        <v>84.90000000000001</v>
      </c>
    </row>
    <row r="69">
      <c r="A69" t="inlineStr">
        <is>
          <t>Imperdíveis Pizzas salgadas</t>
        </is>
      </c>
      <c r="B69" t="inlineStr">
        <is>
          <t>Pizza Romana</t>
        </is>
      </c>
      <c r="C69" t="inlineStr">
        <is>
          <t>Brotinho</t>
        </is>
      </c>
      <c r="D69" t="inlineStr">
        <is>
          <t>Loja (Retirada)</t>
        </is>
      </c>
      <c r="E69" s="6" t="n"/>
    </row>
    <row r="70">
      <c r="A70" t="inlineStr">
        <is>
          <t>Imperdíveis Pizzas salgadas</t>
        </is>
      </c>
      <c r="B70" t="inlineStr">
        <is>
          <t>Pizza Romana</t>
        </is>
      </c>
      <c r="C70" t="inlineStr">
        <is>
          <t>Brotinho</t>
        </is>
      </c>
      <c r="D70" t="inlineStr">
        <is>
          <t>Keeta</t>
        </is>
      </c>
      <c r="E70" s="6" t="n"/>
    </row>
    <row r="71">
      <c r="A71" t="inlineStr">
        <is>
          <t>Imperdíveis Pizzas salgadas</t>
        </is>
      </c>
      <c r="B71" t="inlineStr">
        <is>
          <t>Pizza Romana</t>
        </is>
      </c>
      <c r="C71" t="inlineStr">
        <is>
          <t>Grande</t>
        </is>
      </c>
      <c r="D71" t="inlineStr">
        <is>
          <t>iFood</t>
        </is>
      </c>
      <c r="E71" s="6" t="n"/>
    </row>
    <row r="72">
      <c r="A72" t="inlineStr">
        <is>
          <t>Imperdíveis Pizzas salgadas</t>
        </is>
      </c>
      <c r="B72" t="inlineStr">
        <is>
          <t>Pizza Romana</t>
        </is>
      </c>
      <c r="C72" t="inlineStr">
        <is>
          <t>Grande</t>
        </is>
      </c>
      <c r="D72" t="inlineStr">
        <is>
          <t>Loja (Retirada)</t>
        </is>
      </c>
      <c r="E72" s="6" t="n"/>
    </row>
    <row r="73">
      <c r="A73" t="inlineStr">
        <is>
          <t>Imperdíveis Pizzas salgadas</t>
        </is>
      </c>
      <c r="B73" t="inlineStr">
        <is>
          <t>Pizza Romana</t>
        </is>
      </c>
      <c r="C73" t="inlineStr">
        <is>
          <t>Grande</t>
        </is>
      </c>
      <c r="D73" t="inlineStr">
        <is>
          <t>Keeta</t>
        </is>
      </c>
      <c r="E73" s="6" t="n"/>
    </row>
    <row r="74">
      <c r="A74" t="inlineStr">
        <is>
          <t>Imperdíveis Pizzas salgadas</t>
        </is>
      </c>
      <c r="B74" t="inlineStr">
        <is>
          <t>Pizza Primeira Classe</t>
        </is>
      </c>
      <c r="C74" t="inlineStr">
        <is>
          <t>Brotinho</t>
        </is>
      </c>
      <c r="D74" t="inlineStr">
        <is>
          <t>iFood</t>
        </is>
      </c>
      <c r="E74" s="6" t="n">
        <v>64.90000000000001</v>
      </c>
    </row>
    <row r="75">
      <c r="A75" t="inlineStr">
        <is>
          <t>Imperdíveis Pizzas salgadas</t>
        </is>
      </c>
      <c r="B75" t="inlineStr">
        <is>
          <t>Pizza Primeira Classe</t>
        </is>
      </c>
      <c r="C75" t="inlineStr">
        <is>
          <t>Brotinho</t>
        </is>
      </c>
      <c r="D75" t="inlineStr">
        <is>
          <t>Loja (Retirada)</t>
        </is>
      </c>
      <c r="E75" s="6" t="n"/>
    </row>
    <row r="76">
      <c r="A76" t="inlineStr">
        <is>
          <t>Imperdíveis Pizzas salgadas</t>
        </is>
      </c>
      <c r="B76" t="inlineStr">
        <is>
          <t>Pizza Primeira Classe</t>
        </is>
      </c>
      <c r="C76" t="inlineStr">
        <is>
          <t>Brotinho</t>
        </is>
      </c>
      <c r="D76" t="inlineStr">
        <is>
          <t>Keeta</t>
        </is>
      </c>
      <c r="E76" s="6" t="n"/>
    </row>
    <row r="77">
      <c r="A77" t="inlineStr">
        <is>
          <t>Imperdíveis Pizzas salgadas</t>
        </is>
      </c>
      <c r="B77" t="inlineStr">
        <is>
          <t>Pizza Primeira Classe</t>
        </is>
      </c>
      <c r="C77" t="inlineStr">
        <is>
          <t>Grande</t>
        </is>
      </c>
      <c r="D77" t="inlineStr">
        <is>
          <t>iFood</t>
        </is>
      </c>
      <c r="E77" s="6" t="n"/>
    </row>
    <row r="78">
      <c r="A78" t="inlineStr">
        <is>
          <t>Imperdíveis Pizzas salgadas</t>
        </is>
      </c>
      <c r="B78" t="inlineStr">
        <is>
          <t>Pizza Primeira Classe</t>
        </is>
      </c>
      <c r="C78" t="inlineStr">
        <is>
          <t>Grande</t>
        </is>
      </c>
      <c r="D78" t="inlineStr">
        <is>
          <t>Loja (Retirada)</t>
        </is>
      </c>
      <c r="E78" s="6" t="n"/>
    </row>
    <row r="79">
      <c r="A79" t="inlineStr">
        <is>
          <t>Imperdíveis Pizzas salgadas</t>
        </is>
      </c>
      <c r="B79" t="inlineStr">
        <is>
          <t>Pizza Primeira Classe</t>
        </is>
      </c>
      <c r="C79" t="inlineStr">
        <is>
          <t>Grande</t>
        </is>
      </c>
      <c r="D79" t="inlineStr">
        <is>
          <t>Keeta</t>
        </is>
      </c>
      <c r="E79" s="6" t="n"/>
    </row>
    <row r="80">
      <c r="A80" t="inlineStr">
        <is>
          <t>Imperdíveis Pizzas salgadas</t>
        </is>
      </c>
      <c r="B80" t="inlineStr">
        <is>
          <t>Pizza Portuguesa 2</t>
        </is>
      </c>
      <c r="C80" t="inlineStr">
        <is>
          <t>Brotinho</t>
        </is>
      </c>
      <c r="D80" t="inlineStr">
        <is>
          <t>iFood</t>
        </is>
      </c>
      <c r="E80" s="6" t="n">
        <v>79.90000000000001</v>
      </c>
    </row>
    <row r="81">
      <c r="A81" t="inlineStr">
        <is>
          <t>Imperdíveis Pizzas salgadas</t>
        </is>
      </c>
      <c r="B81" t="inlineStr">
        <is>
          <t>Pizza Portuguesa 2</t>
        </is>
      </c>
      <c r="C81" t="inlineStr">
        <is>
          <t>Brotinho</t>
        </is>
      </c>
      <c r="D81" t="inlineStr">
        <is>
          <t>Loja (Retirada)</t>
        </is>
      </c>
      <c r="E81" s="6" t="n"/>
    </row>
    <row r="82">
      <c r="A82" t="inlineStr">
        <is>
          <t>Imperdíveis Pizzas salgadas</t>
        </is>
      </c>
      <c r="B82" t="inlineStr">
        <is>
          <t>Pizza Portuguesa 2</t>
        </is>
      </c>
      <c r="C82" t="inlineStr">
        <is>
          <t>Brotinho</t>
        </is>
      </c>
      <c r="D82" t="inlineStr">
        <is>
          <t>Keeta</t>
        </is>
      </c>
      <c r="E82" s="6" t="n"/>
    </row>
    <row r="83">
      <c r="A83" t="inlineStr">
        <is>
          <t>Imperdíveis Pizzas salgadas</t>
        </is>
      </c>
      <c r="B83" t="inlineStr">
        <is>
          <t>Pizza Portuguesa 2</t>
        </is>
      </c>
      <c r="C83" t="inlineStr">
        <is>
          <t>Grande</t>
        </is>
      </c>
      <c r="D83" t="inlineStr">
        <is>
          <t>iFood</t>
        </is>
      </c>
      <c r="E83" s="6" t="n"/>
    </row>
    <row r="84">
      <c r="A84" t="inlineStr">
        <is>
          <t>Imperdíveis Pizzas salgadas</t>
        </is>
      </c>
      <c r="B84" t="inlineStr">
        <is>
          <t>Pizza Portuguesa 2</t>
        </is>
      </c>
      <c r="C84" t="inlineStr">
        <is>
          <t>Grande</t>
        </is>
      </c>
      <c r="D84" t="inlineStr">
        <is>
          <t>Loja (Retirada)</t>
        </is>
      </c>
      <c r="E84" s="6" t="n"/>
    </row>
    <row r="85">
      <c r="A85" t="inlineStr">
        <is>
          <t>Imperdíveis Pizzas salgadas</t>
        </is>
      </c>
      <c r="B85" t="inlineStr">
        <is>
          <t>Pizza Portuguesa 2</t>
        </is>
      </c>
      <c r="C85" t="inlineStr">
        <is>
          <t>Grande</t>
        </is>
      </c>
      <c r="D85" t="inlineStr">
        <is>
          <t>Keeta</t>
        </is>
      </c>
      <c r="E85" s="6" t="n"/>
    </row>
    <row r="86">
      <c r="A86" t="inlineStr">
        <is>
          <t>Imperdíveis Pizzas salgadas</t>
        </is>
      </c>
      <c r="B86" t="inlineStr">
        <is>
          <t>Pizza Portuguesa</t>
        </is>
      </c>
      <c r="C86" t="inlineStr">
        <is>
          <t>Brotinho</t>
        </is>
      </c>
      <c r="D86" t="inlineStr">
        <is>
          <t>iFood</t>
        </is>
      </c>
      <c r="E86" s="6" t="n">
        <v>63.9</v>
      </c>
    </row>
    <row r="87">
      <c r="A87" t="inlineStr">
        <is>
          <t>Imperdíveis Pizzas salgadas</t>
        </is>
      </c>
      <c r="B87" t="inlineStr">
        <is>
          <t>Pizza Portuguesa</t>
        </is>
      </c>
      <c r="C87" t="inlineStr">
        <is>
          <t>Brotinho</t>
        </is>
      </c>
      <c r="D87" t="inlineStr">
        <is>
          <t>Loja (Retirada)</t>
        </is>
      </c>
      <c r="E87" s="6" t="n"/>
    </row>
    <row r="88">
      <c r="A88" t="inlineStr">
        <is>
          <t>Imperdíveis Pizzas salgadas</t>
        </is>
      </c>
      <c r="B88" t="inlineStr">
        <is>
          <t>Pizza Portuguesa</t>
        </is>
      </c>
      <c r="C88" t="inlineStr">
        <is>
          <t>Brotinho</t>
        </is>
      </c>
      <c r="D88" t="inlineStr">
        <is>
          <t>Keeta</t>
        </is>
      </c>
      <c r="E88" s="6" t="n"/>
    </row>
    <row r="89">
      <c r="A89" t="inlineStr">
        <is>
          <t>Imperdíveis Pizzas salgadas</t>
        </is>
      </c>
      <c r="B89" t="inlineStr">
        <is>
          <t>Pizza Portuguesa</t>
        </is>
      </c>
      <c r="C89" t="inlineStr">
        <is>
          <t>Grande</t>
        </is>
      </c>
      <c r="D89" t="inlineStr">
        <is>
          <t>iFood</t>
        </is>
      </c>
      <c r="E89" s="6" t="n"/>
    </row>
    <row r="90">
      <c r="A90" t="inlineStr">
        <is>
          <t>Imperdíveis Pizzas salgadas</t>
        </is>
      </c>
      <c r="B90" t="inlineStr">
        <is>
          <t>Pizza Portuguesa</t>
        </is>
      </c>
      <c r="C90" t="inlineStr">
        <is>
          <t>Grande</t>
        </is>
      </c>
      <c r="D90" t="inlineStr">
        <is>
          <t>Loja (Retirada)</t>
        </is>
      </c>
      <c r="E90" s="6" t="n"/>
    </row>
    <row r="91">
      <c r="A91" t="inlineStr">
        <is>
          <t>Imperdíveis Pizzas salgadas</t>
        </is>
      </c>
      <c r="B91" t="inlineStr">
        <is>
          <t>Pizza Portuguesa</t>
        </is>
      </c>
      <c r="C91" t="inlineStr">
        <is>
          <t>Grande</t>
        </is>
      </c>
      <c r="D91" t="inlineStr">
        <is>
          <t>Keeta</t>
        </is>
      </c>
      <c r="E91" s="6" t="n"/>
    </row>
    <row r="92">
      <c r="A92" t="inlineStr">
        <is>
          <t>Imperdíveis Pizzas salgadas</t>
        </is>
      </c>
      <c r="B92" t="inlineStr">
        <is>
          <t>Pizza Peruana</t>
        </is>
      </c>
      <c r="C92" t="inlineStr">
        <is>
          <t>Brotinho</t>
        </is>
      </c>
      <c r="D92" t="inlineStr">
        <is>
          <t>iFood</t>
        </is>
      </c>
      <c r="E92" s="6" t="n">
        <v>83.90000000000001</v>
      </c>
    </row>
    <row r="93">
      <c r="A93" t="inlineStr">
        <is>
          <t>Imperdíveis Pizzas salgadas</t>
        </is>
      </c>
      <c r="B93" t="inlineStr">
        <is>
          <t>Pizza Peruana</t>
        </is>
      </c>
      <c r="C93" t="inlineStr">
        <is>
          <t>Brotinho</t>
        </is>
      </c>
      <c r="D93" t="inlineStr">
        <is>
          <t>Loja (Retirada)</t>
        </is>
      </c>
      <c r="E93" s="6" t="n"/>
    </row>
    <row r="94">
      <c r="A94" t="inlineStr">
        <is>
          <t>Imperdíveis Pizzas salgadas</t>
        </is>
      </c>
      <c r="B94" t="inlineStr">
        <is>
          <t>Pizza Peruana</t>
        </is>
      </c>
      <c r="C94" t="inlineStr">
        <is>
          <t>Brotinho</t>
        </is>
      </c>
      <c r="D94" t="inlineStr">
        <is>
          <t>Keeta</t>
        </is>
      </c>
      <c r="E94" s="6" t="n"/>
    </row>
    <row r="95">
      <c r="A95" t="inlineStr">
        <is>
          <t>Imperdíveis Pizzas salgadas</t>
        </is>
      </c>
      <c r="B95" t="inlineStr">
        <is>
          <t>Pizza Peruana</t>
        </is>
      </c>
      <c r="C95" t="inlineStr">
        <is>
          <t>Grande</t>
        </is>
      </c>
      <c r="D95" t="inlineStr">
        <is>
          <t>iFood</t>
        </is>
      </c>
      <c r="E95" s="6" t="n"/>
    </row>
    <row r="96">
      <c r="A96" t="inlineStr">
        <is>
          <t>Imperdíveis Pizzas salgadas</t>
        </is>
      </c>
      <c r="B96" t="inlineStr">
        <is>
          <t>Pizza Peruana</t>
        </is>
      </c>
      <c r="C96" t="inlineStr">
        <is>
          <t>Grande</t>
        </is>
      </c>
      <c r="D96" t="inlineStr">
        <is>
          <t>Loja (Retirada)</t>
        </is>
      </c>
      <c r="E96" s="6" t="n"/>
    </row>
    <row r="97">
      <c r="A97" t="inlineStr">
        <is>
          <t>Imperdíveis Pizzas salgadas</t>
        </is>
      </c>
      <c r="B97" t="inlineStr">
        <is>
          <t>Pizza Peruana</t>
        </is>
      </c>
      <c r="C97" t="inlineStr">
        <is>
          <t>Grande</t>
        </is>
      </c>
      <c r="D97" t="inlineStr">
        <is>
          <t>Keeta</t>
        </is>
      </c>
      <c r="E97" s="6" t="n"/>
    </row>
    <row r="98">
      <c r="A98" t="inlineStr">
        <is>
          <t>Imperdíveis Pizzas salgadas</t>
        </is>
      </c>
      <c r="B98" t="inlineStr">
        <is>
          <t>Pizza Pepperoni</t>
        </is>
      </c>
      <c r="C98" t="inlineStr">
        <is>
          <t>Brotinho</t>
        </is>
      </c>
      <c r="D98" t="inlineStr">
        <is>
          <t>iFood</t>
        </is>
      </c>
      <c r="E98" s="6" t="n">
        <v>62.9</v>
      </c>
    </row>
    <row r="99">
      <c r="A99" t="inlineStr">
        <is>
          <t>Imperdíveis Pizzas salgadas</t>
        </is>
      </c>
      <c r="B99" t="inlineStr">
        <is>
          <t>Pizza Pepperoni</t>
        </is>
      </c>
      <c r="C99" t="inlineStr">
        <is>
          <t>Brotinho</t>
        </is>
      </c>
      <c r="D99" t="inlineStr">
        <is>
          <t>Loja (Retirada)</t>
        </is>
      </c>
      <c r="E99" s="6" t="n"/>
    </row>
    <row r="100">
      <c r="A100" t="inlineStr">
        <is>
          <t>Imperdíveis Pizzas salgadas</t>
        </is>
      </c>
      <c r="B100" t="inlineStr">
        <is>
          <t>Pizza Pepperoni</t>
        </is>
      </c>
      <c r="C100" t="inlineStr">
        <is>
          <t>Brotinho</t>
        </is>
      </c>
      <c r="D100" t="inlineStr">
        <is>
          <t>Keeta</t>
        </is>
      </c>
      <c r="E100" s="6" t="n"/>
    </row>
    <row r="101">
      <c r="A101" t="inlineStr">
        <is>
          <t>Imperdíveis Pizzas salgadas</t>
        </is>
      </c>
      <c r="B101" t="inlineStr">
        <is>
          <t>Pizza Pepperoni</t>
        </is>
      </c>
      <c r="C101" t="inlineStr">
        <is>
          <t>Grande</t>
        </is>
      </c>
      <c r="D101" t="inlineStr">
        <is>
          <t>iFood</t>
        </is>
      </c>
      <c r="E101" s="6" t="n"/>
    </row>
    <row r="102">
      <c r="A102" t="inlineStr">
        <is>
          <t>Imperdíveis Pizzas salgadas</t>
        </is>
      </c>
      <c r="B102" t="inlineStr">
        <is>
          <t>Pizza Pepperoni</t>
        </is>
      </c>
      <c r="C102" t="inlineStr">
        <is>
          <t>Grande</t>
        </is>
      </c>
      <c r="D102" t="inlineStr">
        <is>
          <t>Loja (Retirada)</t>
        </is>
      </c>
      <c r="E102" s="6" t="n"/>
    </row>
    <row r="103">
      <c r="A103" t="inlineStr">
        <is>
          <t>Imperdíveis Pizzas salgadas</t>
        </is>
      </c>
      <c r="B103" t="inlineStr">
        <is>
          <t>Pizza Pepperoni</t>
        </is>
      </c>
      <c r="C103" t="inlineStr">
        <is>
          <t>Grande</t>
        </is>
      </c>
      <c r="D103" t="inlineStr">
        <is>
          <t>Keeta</t>
        </is>
      </c>
      <c r="E103" s="6" t="n"/>
    </row>
    <row r="104">
      <c r="A104" t="inlineStr">
        <is>
          <t>Imperdíveis Pizzas salgadas</t>
        </is>
      </c>
      <c r="B104" t="inlineStr">
        <is>
          <t>Pizza Palmito</t>
        </is>
      </c>
      <c r="C104" t="inlineStr">
        <is>
          <t>Brotinho</t>
        </is>
      </c>
      <c r="D104" t="inlineStr">
        <is>
          <t>iFood</t>
        </is>
      </c>
      <c r="E104" s="6" t="n">
        <v>78.90000000000001</v>
      </c>
    </row>
    <row r="105">
      <c r="A105" t="inlineStr">
        <is>
          <t>Imperdíveis Pizzas salgadas</t>
        </is>
      </c>
      <c r="B105" t="inlineStr">
        <is>
          <t>Pizza Palmito</t>
        </is>
      </c>
      <c r="C105" t="inlineStr">
        <is>
          <t>Brotinho</t>
        </is>
      </c>
      <c r="D105" t="inlineStr">
        <is>
          <t>Loja (Retirada)</t>
        </is>
      </c>
      <c r="E105" s="6" t="n"/>
    </row>
    <row r="106">
      <c r="A106" t="inlineStr">
        <is>
          <t>Imperdíveis Pizzas salgadas</t>
        </is>
      </c>
      <c r="B106" t="inlineStr">
        <is>
          <t>Pizza Palmito</t>
        </is>
      </c>
      <c r="C106" t="inlineStr">
        <is>
          <t>Brotinho</t>
        </is>
      </c>
      <c r="D106" t="inlineStr">
        <is>
          <t>Keeta</t>
        </is>
      </c>
      <c r="E106" s="6" t="n"/>
    </row>
    <row r="107">
      <c r="A107" t="inlineStr">
        <is>
          <t>Imperdíveis Pizzas salgadas</t>
        </is>
      </c>
      <c r="B107" t="inlineStr">
        <is>
          <t>Pizza Palmito</t>
        </is>
      </c>
      <c r="C107" t="inlineStr">
        <is>
          <t>Grande</t>
        </is>
      </c>
      <c r="D107" t="inlineStr">
        <is>
          <t>iFood</t>
        </is>
      </c>
      <c r="E107" s="6" t="n"/>
    </row>
    <row r="108">
      <c r="A108" t="inlineStr">
        <is>
          <t>Imperdíveis Pizzas salgadas</t>
        </is>
      </c>
      <c r="B108" t="inlineStr">
        <is>
          <t>Pizza Palmito</t>
        </is>
      </c>
      <c r="C108" t="inlineStr">
        <is>
          <t>Grande</t>
        </is>
      </c>
      <c r="D108" t="inlineStr">
        <is>
          <t>Loja (Retirada)</t>
        </is>
      </c>
      <c r="E108" s="6" t="n"/>
    </row>
    <row r="109">
      <c r="A109" t="inlineStr">
        <is>
          <t>Imperdíveis Pizzas salgadas</t>
        </is>
      </c>
      <c r="B109" t="inlineStr">
        <is>
          <t>Pizza Palmito</t>
        </is>
      </c>
      <c r="C109" t="inlineStr">
        <is>
          <t>Grande</t>
        </is>
      </c>
      <c r="D109" t="inlineStr">
        <is>
          <t>Keeta</t>
        </is>
      </c>
      <c r="E109" s="6" t="n"/>
    </row>
    <row r="110">
      <c r="A110" t="inlineStr">
        <is>
          <t>Imperdíveis Pizzas salgadas</t>
        </is>
      </c>
      <c r="B110" t="inlineStr">
        <is>
          <t>Pizza Napolitana</t>
        </is>
      </c>
      <c r="C110" t="inlineStr">
        <is>
          <t>Brotinho</t>
        </is>
      </c>
      <c r="D110" t="inlineStr">
        <is>
          <t>iFood</t>
        </is>
      </c>
      <c r="E110" s="6" t="n">
        <v>61.9</v>
      </c>
    </row>
    <row r="111">
      <c r="A111" t="inlineStr">
        <is>
          <t>Imperdíveis Pizzas salgadas</t>
        </is>
      </c>
      <c r="B111" t="inlineStr">
        <is>
          <t>Pizza Napolitana</t>
        </is>
      </c>
      <c r="C111" t="inlineStr">
        <is>
          <t>Brotinho</t>
        </is>
      </c>
      <c r="D111" t="inlineStr">
        <is>
          <t>Loja (Retirada)</t>
        </is>
      </c>
      <c r="E111" s="6" t="n"/>
    </row>
    <row r="112">
      <c r="A112" t="inlineStr">
        <is>
          <t>Imperdíveis Pizzas salgadas</t>
        </is>
      </c>
      <c r="B112" t="inlineStr">
        <is>
          <t>Pizza Napolitana</t>
        </is>
      </c>
      <c r="C112" t="inlineStr">
        <is>
          <t>Brotinho</t>
        </is>
      </c>
      <c r="D112" t="inlineStr">
        <is>
          <t>Keeta</t>
        </is>
      </c>
      <c r="E112" s="6" t="n"/>
    </row>
    <row r="113">
      <c r="A113" t="inlineStr">
        <is>
          <t>Imperdíveis Pizzas salgadas</t>
        </is>
      </c>
      <c r="B113" t="inlineStr">
        <is>
          <t>Pizza Napolitana</t>
        </is>
      </c>
      <c r="C113" t="inlineStr">
        <is>
          <t>Grande</t>
        </is>
      </c>
      <c r="D113" t="inlineStr">
        <is>
          <t>iFood</t>
        </is>
      </c>
      <c r="E113" s="6" t="n"/>
    </row>
    <row r="114">
      <c r="A114" t="inlineStr">
        <is>
          <t>Imperdíveis Pizzas salgadas</t>
        </is>
      </c>
      <c r="B114" t="inlineStr">
        <is>
          <t>Pizza Napolitana</t>
        </is>
      </c>
      <c r="C114" t="inlineStr">
        <is>
          <t>Grande</t>
        </is>
      </c>
      <c r="D114" t="inlineStr">
        <is>
          <t>Loja (Retirada)</t>
        </is>
      </c>
      <c r="E114" s="6" t="n"/>
    </row>
    <row r="115">
      <c r="A115" t="inlineStr">
        <is>
          <t>Imperdíveis Pizzas salgadas</t>
        </is>
      </c>
      <c r="B115" t="inlineStr">
        <is>
          <t>Pizza Napolitana</t>
        </is>
      </c>
      <c r="C115" t="inlineStr">
        <is>
          <t>Grande</t>
        </is>
      </c>
      <c r="D115" t="inlineStr">
        <is>
          <t>Keeta</t>
        </is>
      </c>
      <c r="E115" s="6" t="n"/>
    </row>
    <row r="116">
      <c r="A116" t="inlineStr">
        <is>
          <t>Imperdíveis Pizzas salgadas</t>
        </is>
      </c>
      <c r="B116" t="inlineStr">
        <is>
          <t>Pizza Mussarela</t>
        </is>
      </c>
      <c r="C116" t="inlineStr">
        <is>
          <t>Brotinho</t>
        </is>
      </c>
      <c r="D116" t="inlineStr">
        <is>
          <t>iFood</t>
        </is>
      </c>
      <c r="E116" s="6" t="n">
        <v>58.9</v>
      </c>
    </row>
    <row r="117">
      <c r="A117" t="inlineStr">
        <is>
          <t>Imperdíveis Pizzas salgadas</t>
        </is>
      </c>
      <c r="B117" t="inlineStr">
        <is>
          <t>Pizza Mussarela</t>
        </is>
      </c>
      <c r="C117" t="inlineStr">
        <is>
          <t>Brotinho</t>
        </is>
      </c>
      <c r="D117" t="inlineStr">
        <is>
          <t>Loja (Retirada)</t>
        </is>
      </c>
      <c r="E117" s="6" t="n"/>
    </row>
    <row r="118">
      <c r="A118" t="inlineStr">
        <is>
          <t>Imperdíveis Pizzas salgadas</t>
        </is>
      </c>
      <c r="B118" t="inlineStr">
        <is>
          <t>Pizza Mussarela</t>
        </is>
      </c>
      <c r="C118" t="inlineStr">
        <is>
          <t>Brotinho</t>
        </is>
      </c>
      <c r="D118" t="inlineStr">
        <is>
          <t>Keeta</t>
        </is>
      </c>
      <c r="E118" s="6" t="n"/>
    </row>
    <row r="119">
      <c r="A119" t="inlineStr">
        <is>
          <t>Imperdíveis Pizzas salgadas</t>
        </is>
      </c>
      <c r="B119" t="inlineStr">
        <is>
          <t>Pizza Mussarela</t>
        </is>
      </c>
      <c r="C119" t="inlineStr">
        <is>
          <t>Grande</t>
        </is>
      </c>
      <c r="D119" t="inlineStr">
        <is>
          <t>iFood</t>
        </is>
      </c>
      <c r="E119" s="6" t="n"/>
    </row>
    <row r="120">
      <c r="A120" t="inlineStr">
        <is>
          <t>Imperdíveis Pizzas salgadas</t>
        </is>
      </c>
      <c r="B120" t="inlineStr">
        <is>
          <t>Pizza Mussarela</t>
        </is>
      </c>
      <c r="C120" t="inlineStr">
        <is>
          <t>Grande</t>
        </is>
      </c>
      <c r="D120" t="inlineStr">
        <is>
          <t>Loja (Retirada)</t>
        </is>
      </c>
      <c r="E120" s="6" t="n"/>
    </row>
    <row r="121">
      <c r="A121" t="inlineStr">
        <is>
          <t>Imperdíveis Pizzas salgadas</t>
        </is>
      </c>
      <c r="B121" t="inlineStr">
        <is>
          <t>Pizza Mussarela</t>
        </is>
      </c>
      <c r="C121" t="inlineStr">
        <is>
          <t>Grande</t>
        </is>
      </c>
      <c r="D121" t="inlineStr">
        <is>
          <t>Keeta</t>
        </is>
      </c>
      <c r="E121" s="6" t="n"/>
    </row>
    <row r="122">
      <c r="A122" t="inlineStr">
        <is>
          <t>Imperdíveis Pizzas salgadas</t>
        </is>
      </c>
      <c r="B122" t="inlineStr">
        <is>
          <t>Pizza Mista</t>
        </is>
      </c>
      <c r="C122" t="inlineStr">
        <is>
          <t>Brotinho</t>
        </is>
      </c>
      <c r="D122" t="inlineStr">
        <is>
          <t>iFood</t>
        </is>
      </c>
      <c r="E122" s="6" t="n">
        <v>61.9</v>
      </c>
    </row>
    <row r="123">
      <c r="A123" t="inlineStr">
        <is>
          <t>Imperdíveis Pizzas salgadas</t>
        </is>
      </c>
      <c r="B123" t="inlineStr">
        <is>
          <t>Pizza Mista</t>
        </is>
      </c>
      <c r="C123" t="inlineStr">
        <is>
          <t>Brotinho</t>
        </is>
      </c>
      <c r="D123" t="inlineStr">
        <is>
          <t>Loja (Retirada)</t>
        </is>
      </c>
      <c r="E123" s="6" t="n"/>
    </row>
    <row r="124">
      <c r="A124" t="inlineStr">
        <is>
          <t>Imperdíveis Pizzas salgadas</t>
        </is>
      </c>
      <c r="B124" t="inlineStr">
        <is>
          <t>Pizza Mista</t>
        </is>
      </c>
      <c r="C124" t="inlineStr">
        <is>
          <t>Brotinho</t>
        </is>
      </c>
      <c r="D124" t="inlineStr">
        <is>
          <t>Keeta</t>
        </is>
      </c>
      <c r="E124" s="6" t="n"/>
    </row>
    <row r="125">
      <c r="A125" t="inlineStr">
        <is>
          <t>Imperdíveis Pizzas salgadas</t>
        </is>
      </c>
      <c r="B125" t="inlineStr">
        <is>
          <t>Pizza Mista</t>
        </is>
      </c>
      <c r="C125" t="inlineStr">
        <is>
          <t>Grande</t>
        </is>
      </c>
      <c r="D125" t="inlineStr">
        <is>
          <t>iFood</t>
        </is>
      </c>
      <c r="E125" s="6" t="n"/>
    </row>
    <row r="126">
      <c r="A126" t="inlineStr">
        <is>
          <t>Imperdíveis Pizzas salgadas</t>
        </is>
      </c>
      <c r="B126" t="inlineStr">
        <is>
          <t>Pizza Mista</t>
        </is>
      </c>
      <c r="C126" t="inlineStr">
        <is>
          <t>Grande</t>
        </is>
      </c>
      <c r="D126" t="inlineStr">
        <is>
          <t>Loja (Retirada)</t>
        </is>
      </c>
      <c r="E126" s="6" t="n"/>
    </row>
    <row r="127">
      <c r="A127" t="inlineStr">
        <is>
          <t>Imperdíveis Pizzas salgadas</t>
        </is>
      </c>
      <c r="B127" t="inlineStr">
        <is>
          <t>Pizza Mista</t>
        </is>
      </c>
      <c r="C127" t="inlineStr">
        <is>
          <t>Grande</t>
        </is>
      </c>
      <c r="D127" t="inlineStr">
        <is>
          <t>Keeta</t>
        </is>
      </c>
      <c r="E127" s="6" t="n"/>
    </row>
    <row r="128">
      <c r="A128" t="inlineStr">
        <is>
          <t>Imperdíveis Pizzas salgadas</t>
        </is>
      </c>
      <c r="B128" t="inlineStr">
        <is>
          <t>Pizza Milho</t>
        </is>
      </c>
      <c r="C128" t="inlineStr">
        <is>
          <t>Brotinho</t>
        </is>
      </c>
      <c r="D128" t="inlineStr">
        <is>
          <t>iFood</t>
        </is>
      </c>
      <c r="E128" s="6" t="n">
        <v>62.9</v>
      </c>
    </row>
    <row r="129">
      <c r="A129" t="inlineStr">
        <is>
          <t>Imperdíveis Pizzas salgadas</t>
        </is>
      </c>
      <c r="B129" t="inlineStr">
        <is>
          <t>Pizza Milho</t>
        </is>
      </c>
      <c r="C129" t="inlineStr">
        <is>
          <t>Brotinho</t>
        </is>
      </c>
      <c r="D129" t="inlineStr">
        <is>
          <t>Loja (Retirada)</t>
        </is>
      </c>
      <c r="E129" s="6" t="n"/>
    </row>
    <row r="130">
      <c r="A130" t="inlineStr">
        <is>
          <t>Imperdíveis Pizzas salgadas</t>
        </is>
      </c>
      <c r="B130" t="inlineStr">
        <is>
          <t>Pizza Milho</t>
        </is>
      </c>
      <c r="C130" t="inlineStr">
        <is>
          <t>Brotinho</t>
        </is>
      </c>
      <c r="D130" t="inlineStr">
        <is>
          <t>Keeta</t>
        </is>
      </c>
      <c r="E130" s="6" t="n"/>
    </row>
    <row r="131">
      <c r="A131" t="inlineStr">
        <is>
          <t>Imperdíveis Pizzas salgadas</t>
        </is>
      </c>
      <c r="B131" t="inlineStr">
        <is>
          <t>Pizza Milho</t>
        </is>
      </c>
      <c r="C131" t="inlineStr">
        <is>
          <t>Grande</t>
        </is>
      </c>
      <c r="D131" t="inlineStr">
        <is>
          <t>iFood</t>
        </is>
      </c>
      <c r="E131" s="6" t="n"/>
    </row>
    <row r="132">
      <c r="A132" t="inlineStr">
        <is>
          <t>Imperdíveis Pizzas salgadas</t>
        </is>
      </c>
      <c r="B132" t="inlineStr">
        <is>
          <t>Pizza Milho</t>
        </is>
      </c>
      <c r="C132" t="inlineStr">
        <is>
          <t>Grande</t>
        </is>
      </c>
      <c r="D132" t="inlineStr">
        <is>
          <t>Loja (Retirada)</t>
        </is>
      </c>
      <c r="E132" s="6" t="n"/>
    </row>
    <row r="133">
      <c r="A133" t="inlineStr">
        <is>
          <t>Imperdíveis Pizzas salgadas</t>
        </is>
      </c>
      <c r="B133" t="inlineStr">
        <is>
          <t>Pizza Milho</t>
        </is>
      </c>
      <c r="C133" t="inlineStr">
        <is>
          <t>Grande</t>
        </is>
      </c>
      <c r="D133" t="inlineStr">
        <is>
          <t>Keeta</t>
        </is>
      </c>
      <c r="E133" s="6" t="n"/>
    </row>
    <row r="134">
      <c r="A134" t="inlineStr">
        <is>
          <t>Imperdíveis Pizzas salgadas</t>
        </is>
      </c>
      <c r="B134" t="inlineStr">
        <is>
          <t>Pizza Marguerita Especial</t>
        </is>
      </c>
      <c r="C134" t="inlineStr">
        <is>
          <t>Brotinho</t>
        </is>
      </c>
      <c r="D134" t="inlineStr">
        <is>
          <t>iFood</t>
        </is>
      </c>
      <c r="E134" s="6" t="n">
        <v>84.90000000000001</v>
      </c>
    </row>
    <row r="135">
      <c r="A135" t="inlineStr">
        <is>
          <t>Imperdíveis Pizzas salgadas</t>
        </is>
      </c>
      <c r="B135" t="inlineStr">
        <is>
          <t>Pizza Marguerita Especial</t>
        </is>
      </c>
      <c r="C135" t="inlineStr">
        <is>
          <t>Brotinho</t>
        </is>
      </c>
      <c r="D135" t="inlineStr">
        <is>
          <t>Loja (Retirada)</t>
        </is>
      </c>
      <c r="E135" s="6" t="n"/>
    </row>
    <row r="136">
      <c r="A136" t="inlineStr">
        <is>
          <t>Imperdíveis Pizzas salgadas</t>
        </is>
      </c>
      <c r="B136" t="inlineStr">
        <is>
          <t>Pizza Marguerita Especial</t>
        </is>
      </c>
      <c r="C136" t="inlineStr">
        <is>
          <t>Brotinho</t>
        </is>
      </c>
      <c r="D136" t="inlineStr">
        <is>
          <t>Keeta</t>
        </is>
      </c>
      <c r="E136" s="6" t="n"/>
    </row>
    <row r="137">
      <c r="A137" t="inlineStr">
        <is>
          <t>Imperdíveis Pizzas salgadas</t>
        </is>
      </c>
      <c r="B137" t="inlineStr">
        <is>
          <t>Pizza Marguerita Especial</t>
        </is>
      </c>
      <c r="C137" t="inlineStr">
        <is>
          <t>Grande</t>
        </is>
      </c>
      <c r="D137" t="inlineStr">
        <is>
          <t>iFood</t>
        </is>
      </c>
      <c r="E137" s="6" t="n"/>
    </row>
    <row r="138">
      <c r="A138" t="inlineStr">
        <is>
          <t>Imperdíveis Pizzas salgadas</t>
        </is>
      </c>
      <c r="B138" t="inlineStr">
        <is>
          <t>Pizza Marguerita Especial</t>
        </is>
      </c>
      <c r="C138" t="inlineStr">
        <is>
          <t>Grande</t>
        </is>
      </c>
      <c r="D138" t="inlineStr">
        <is>
          <t>Loja (Retirada)</t>
        </is>
      </c>
      <c r="E138" s="6" t="n"/>
    </row>
    <row r="139">
      <c r="A139" t="inlineStr">
        <is>
          <t>Imperdíveis Pizzas salgadas</t>
        </is>
      </c>
      <c r="B139" t="inlineStr">
        <is>
          <t>Pizza Marguerita Especial</t>
        </is>
      </c>
      <c r="C139" t="inlineStr">
        <is>
          <t>Grande</t>
        </is>
      </c>
      <c r="D139" t="inlineStr">
        <is>
          <t>Keeta</t>
        </is>
      </c>
      <c r="E139" s="6" t="n"/>
    </row>
    <row r="140">
      <c r="A140" t="inlineStr">
        <is>
          <t>Imperdíveis Pizzas salgadas</t>
        </is>
      </c>
      <c r="B140" t="inlineStr">
        <is>
          <t>Pizza Marguerita</t>
        </is>
      </c>
      <c r="C140" t="inlineStr">
        <is>
          <t>Brotinho</t>
        </is>
      </c>
      <c r="D140" t="inlineStr">
        <is>
          <t>iFood</t>
        </is>
      </c>
      <c r="E140" s="6" t="n">
        <v>63.9</v>
      </c>
    </row>
    <row r="141">
      <c r="A141" t="inlineStr">
        <is>
          <t>Imperdíveis Pizzas salgadas</t>
        </is>
      </c>
      <c r="B141" t="inlineStr">
        <is>
          <t>Pizza Marguerita</t>
        </is>
      </c>
      <c r="C141" t="inlineStr">
        <is>
          <t>Brotinho</t>
        </is>
      </c>
      <c r="D141" t="inlineStr">
        <is>
          <t>Loja (Retirada)</t>
        </is>
      </c>
      <c r="E141" s="6" t="n"/>
    </row>
    <row r="142">
      <c r="A142" t="inlineStr">
        <is>
          <t>Imperdíveis Pizzas salgadas</t>
        </is>
      </c>
      <c r="B142" t="inlineStr">
        <is>
          <t>Pizza Marguerita</t>
        </is>
      </c>
      <c r="C142" t="inlineStr">
        <is>
          <t>Brotinho</t>
        </is>
      </c>
      <c r="D142" t="inlineStr">
        <is>
          <t>Keeta</t>
        </is>
      </c>
      <c r="E142" s="6" t="n"/>
    </row>
    <row r="143">
      <c r="A143" t="inlineStr">
        <is>
          <t>Imperdíveis Pizzas salgadas</t>
        </is>
      </c>
      <c r="B143" t="inlineStr">
        <is>
          <t>Pizza Marguerita</t>
        </is>
      </c>
      <c r="C143" t="inlineStr">
        <is>
          <t>Grande</t>
        </is>
      </c>
      <c r="D143" t="inlineStr">
        <is>
          <t>iFood</t>
        </is>
      </c>
      <c r="E143" s="6" t="n"/>
    </row>
    <row r="144">
      <c r="A144" t="inlineStr">
        <is>
          <t>Imperdíveis Pizzas salgadas</t>
        </is>
      </c>
      <c r="B144" t="inlineStr">
        <is>
          <t>Pizza Marguerita</t>
        </is>
      </c>
      <c r="C144" t="inlineStr">
        <is>
          <t>Grande</t>
        </is>
      </c>
      <c r="D144" t="inlineStr">
        <is>
          <t>Loja (Retirada)</t>
        </is>
      </c>
      <c r="E144" s="6" t="n"/>
    </row>
    <row r="145">
      <c r="A145" t="inlineStr">
        <is>
          <t>Imperdíveis Pizzas salgadas</t>
        </is>
      </c>
      <c r="B145" t="inlineStr">
        <is>
          <t>Pizza Marguerita</t>
        </is>
      </c>
      <c r="C145" t="inlineStr">
        <is>
          <t>Grande</t>
        </is>
      </c>
      <c r="D145" t="inlineStr">
        <is>
          <t>Keeta</t>
        </is>
      </c>
      <c r="E145" s="6" t="n"/>
    </row>
    <row r="146">
      <c r="A146" t="inlineStr">
        <is>
          <t>Imperdíveis Pizzas salgadas</t>
        </is>
      </c>
      <c r="B146" t="inlineStr">
        <is>
          <t>Pizza Lombo 2</t>
        </is>
      </c>
      <c r="C146" t="inlineStr">
        <is>
          <t>Brotinho</t>
        </is>
      </c>
      <c r="D146" t="inlineStr">
        <is>
          <t>iFood</t>
        </is>
      </c>
      <c r="E146" s="6" t="n">
        <v>70.90000000000001</v>
      </c>
    </row>
    <row r="147">
      <c r="A147" t="inlineStr">
        <is>
          <t>Imperdíveis Pizzas salgadas</t>
        </is>
      </c>
      <c r="B147" t="inlineStr">
        <is>
          <t>Pizza Lombo 2</t>
        </is>
      </c>
      <c r="C147" t="inlineStr">
        <is>
          <t>Brotinho</t>
        </is>
      </c>
      <c r="D147" t="inlineStr">
        <is>
          <t>Loja (Retirada)</t>
        </is>
      </c>
      <c r="E147" s="6" t="n"/>
    </row>
    <row r="148">
      <c r="A148" t="inlineStr">
        <is>
          <t>Imperdíveis Pizzas salgadas</t>
        </is>
      </c>
      <c r="B148" t="inlineStr">
        <is>
          <t>Pizza Lombo 2</t>
        </is>
      </c>
      <c r="C148" t="inlineStr">
        <is>
          <t>Brotinho</t>
        </is>
      </c>
      <c r="D148" t="inlineStr">
        <is>
          <t>Keeta</t>
        </is>
      </c>
      <c r="E148" s="6" t="n"/>
    </row>
    <row r="149">
      <c r="A149" t="inlineStr">
        <is>
          <t>Imperdíveis Pizzas salgadas</t>
        </is>
      </c>
      <c r="B149" t="inlineStr">
        <is>
          <t>Pizza Lombo 2</t>
        </is>
      </c>
      <c r="C149" t="inlineStr">
        <is>
          <t>Grande</t>
        </is>
      </c>
      <c r="D149" t="inlineStr">
        <is>
          <t>iFood</t>
        </is>
      </c>
      <c r="E149" s="6" t="n"/>
    </row>
    <row r="150">
      <c r="A150" t="inlineStr">
        <is>
          <t>Imperdíveis Pizzas salgadas</t>
        </is>
      </c>
      <c r="B150" t="inlineStr">
        <is>
          <t>Pizza Lombo 2</t>
        </is>
      </c>
      <c r="C150" t="inlineStr">
        <is>
          <t>Grande</t>
        </is>
      </c>
      <c r="D150" t="inlineStr">
        <is>
          <t>Loja (Retirada)</t>
        </is>
      </c>
      <c r="E150" s="6" t="n"/>
    </row>
    <row r="151">
      <c r="A151" t="inlineStr">
        <is>
          <t>Imperdíveis Pizzas salgadas</t>
        </is>
      </c>
      <c r="B151" t="inlineStr">
        <is>
          <t>Pizza Lombo 2</t>
        </is>
      </c>
      <c r="C151" t="inlineStr">
        <is>
          <t>Grande</t>
        </is>
      </c>
      <c r="D151" t="inlineStr">
        <is>
          <t>Keeta</t>
        </is>
      </c>
      <c r="E151" s="6" t="n"/>
    </row>
    <row r="152">
      <c r="A152" t="inlineStr">
        <is>
          <t>Imperdíveis Pizzas salgadas</t>
        </is>
      </c>
      <c r="B152" t="inlineStr">
        <is>
          <t>Pizza Lombo</t>
        </is>
      </c>
      <c r="C152" t="inlineStr">
        <is>
          <t>Brotinho</t>
        </is>
      </c>
      <c r="D152" t="inlineStr">
        <is>
          <t>iFood</t>
        </is>
      </c>
      <c r="E152" s="6" t="n">
        <v>58.9</v>
      </c>
    </row>
    <row r="153">
      <c r="A153" t="inlineStr">
        <is>
          <t>Imperdíveis Pizzas salgadas</t>
        </is>
      </c>
      <c r="B153" t="inlineStr">
        <is>
          <t>Pizza Lombo</t>
        </is>
      </c>
      <c r="C153" t="inlineStr">
        <is>
          <t>Brotinho</t>
        </is>
      </c>
      <c r="D153" t="inlineStr">
        <is>
          <t>Loja (Retirada)</t>
        </is>
      </c>
      <c r="E153" s="6" t="n"/>
    </row>
    <row r="154">
      <c r="A154" t="inlineStr">
        <is>
          <t>Imperdíveis Pizzas salgadas</t>
        </is>
      </c>
      <c r="B154" t="inlineStr">
        <is>
          <t>Pizza Lombo</t>
        </is>
      </c>
      <c r="C154" t="inlineStr">
        <is>
          <t>Brotinho</t>
        </is>
      </c>
      <c r="D154" t="inlineStr">
        <is>
          <t>Keeta</t>
        </is>
      </c>
      <c r="E154" s="6" t="n"/>
    </row>
    <row r="155">
      <c r="A155" t="inlineStr">
        <is>
          <t>Imperdíveis Pizzas salgadas</t>
        </is>
      </c>
      <c r="B155" t="inlineStr">
        <is>
          <t>Pizza Lombo</t>
        </is>
      </c>
      <c r="C155" t="inlineStr">
        <is>
          <t>Grande</t>
        </is>
      </c>
      <c r="D155" t="inlineStr">
        <is>
          <t>iFood</t>
        </is>
      </c>
      <c r="E155" s="6" t="n"/>
    </row>
    <row r="156">
      <c r="A156" t="inlineStr">
        <is>
          <t>Imperdíveis Pizzas salgadas</t>
        </is>
      </c>
      <c r="B156" t="inlineStr">
        <is>
          <t>Pizza Lombo</t>
        </is>
      </c>
      <c r="C156" t="inlineStr">
        <is>
          <t>Grande</t>
        </is>
      </c>
      <c r="D156" t="inlineStr">
        <is>
          <t>Loja (Retirada)</t>
        </is>
      </c>
      <c r="E156" s="6" t="n"/>
    </row>
    <row r="157">
      <c r="A157" t="inlineStr">
        <is>
          <t>Imperdíveis Pizzas salgadas</t>
        </is>
      </c>
      <c r="B157" t="inlineStr">
        <is>
          <t>Pizza Lombo</t>
        </is>
      </c>
      <c r="C157" t="inlineStr">
        <is>
          <t>Grande</t>
        </is>
      </c>
      <c r="D157" t="inlineStr">
        <is>
          <t>Keeta</t>
        </is>
      </c>
      <c r="E157" s="6" t="n"/>
    </row>
    <row r="158">
      <c r="A158" t="inlineStr">
        <is>
          <t>Imperdíveis Pizzas salgadas</t>
        </is>
      </c>
      <c r="B158" t="inlineStr">
        <is>
          <t>Pizza Light</t>
        </is>
      </c>
      <c r="C158" t="inlineStr">
        <is>
          <t>Brotinho</t>
        </is>
      </c>
      <c r="D158" t="inlineStr">
        <is>
          <t>iFood</t>
        </is>
      </c>
      <c r="E158" s="6" t="n">
        <v>83.90000000000001</v>
      </c>
    </row>
    <row r="159">
      <c r="A159" t="inlineStr">
        <is>
          <t>Imperdíveis Pizzas salgadas</t>
        </is>
      </c>
      <c r="B159" t="inlineStr">
        <is>
          <t>Pizza Light</t>
        </is>
      </c>
      <c r="C159" t="inlineStr">
        <is>
          <t>Brotinho</t>
        </is>
      </c>
      <c r="D159" t="inlineStr">
        <is>
          <t>Loja (Retirada)</t>
        </is>
      </c>
      <c r="E159" s="6" t="n"/>
    </row>
    <row r="160">
      <c r="A160" t="inlineStr">
        <is>
          <t>Imperdíveis Pizzas salgadas</t>
        </is>
      </c>
      <c r="B160" t="inlineStr">
        <is>
          <t>Pizza Light</t>
        </is>
      </c>
      <c r="C160" t="inlineStr">
        <is>
          <t>Brotinho</t>
        </is>
      </c>
      <c r="D160" t="inlineStr">
        <is>
          <t>Keeta</t>
        </is>
      </c>
      <c r="E160" s="6" t="n"/>
    </row>
    <row r="161">
      <c r="A161" t="inlineStr">
        <is>
          <t>Imperdíveis Pizzas salgadas</t>
        </is>
      </c>
      <c r="B161" t="inlineStr">
        <is>
          <t>Pizza Light</t>
        </is>
      </c>
      <c r="C161" t="inlineStr">
        <is>
          <t>Grande</t>
        </is>
      </c>
      <c r="D161" t="inlineStr">
        <is>
          <t>iFood</t>
        </is>
      </c>
      <c r="E161" s="6" t="n"/>
    </row>
    <row r="162">
      <c r="A162" t="inlineStr">
        <is>
          <t>Imperdíveis Pizzas salgadas</t>
        </is>
      </c>
      <c r="B162" t="inlineStr">
        <is>
          <t>Pizza Light</t>
        </is>
      </c>
      <c r="C162" t="inlineStr">
        <is>
          <t>Grande</t>
        </is>
      </c>
      <c r="D162" t="inlineStr">
        <is>
          <t>Loja (Retirada)</t>
        </is>
      </c>
      <c r="E162" s="6" t="n"/>
    </row>
    <row r="163">
      <c r="A163" t="inlineStr">
        <is>
          <t>Imperdíveis Pizzas salgadas</t>
        </is>
      </c>
      <c r="B163" t="inlineStr">
        <is>
          <t>Pizza Light</t>
        </is>
      </c>
      <c r="C163" t="inlineStr">
        <is>
          <t>Grande</t>
        </is>
      </c>
      <c r="D163" t="inlineStr">
        <is>
          <t>Keeta</t>
        </is>
      </c>
      <c r="E163" s="6" t="n"/>
    </row>
    <row r="164">
      <c r="A164" t="inlineStr">
        <is>
          <t>Imperdíveis Pizzas salgadas</t>
        </is>
      </c>
      <c r="B164" t="inlineStr">
        <is>
          <t>Pizza Jardineira</t>
        </is>
      </c>
      <c r="C164" t="inlineStr">
        <is>
          <t>Brotinho</t>
        </is>
      </c>
      <c r="D164" t="inlineStr">
        <is>
          <t>iFood</t>
        </is>
      </c>
      <c r="E164" s="6" t="n">
        <v>63.9</v>
      </c>
    </row>
    <row r="165">
      <c r="A165" t="inlineStr">
        <is>
          <t>Imperdíveis Pizzas salgadas</t>
        </is>
      </c>
      <c r="B165" t="inlineStr">
        <is>
          <t>Pizza Jardineira</t>
        </is>
      </c>
      <c r="C165" t="inlineStr">
        <is>
          <t>Brotinho</t>
        </is>
      </c>
      <c r="D165" t="inlineStr">
        <is>
          <t>Loja (Retirada)</t>
        </is>
      </c>
      <c r="E165" s="6" t="n"/>
    </row>
    <row r="166">
      <c r="A166" t="inlineStr">
        <is>
          <t>Imperdíveis Pizzas salgadas</t>
        </is>
      </c>
      <c r="B166" t="inlineStr">
        <is>
          <t>Pizza Jardineira</t>
        </is>
      </c>
      <c r="C166" t="inlineStr">
        <is>
          <t>Brotinho</t>
        </is>
      </c>
      <c r="D166" t="inlineStr">
        <is>
          <t>Keeta</t>
        </is>
      </c>
      <c r="E166" s="6" t="n"/>
    </row>
    <row r="167">
      <c r="A167" t="inlineStr">
        <is>
          <t>Imperdíveis Pizzas salgadas</t>
        </is>
      </c>
      <c r="B167" t="inlineStr">
        <is>
          <t>Pizza Jardineira</t>
        </is>
      </c>
      <c r="C167" t="inlineStr">
        <is>
          <t>Grande</t>
        </is>
      </c>
      <c r="D167" t="inlineStr">
        <is>
          <t>iFood</t>
        </is>
      </c>
      <c r="E167" s="6" t="n"/>
    </row>
    <row r="168">
      <c r="A168" t="inlineStr">
        <is>
          <t>Imperdíveis Pizzas salgadas</t>
        </is>
      </c>
      <c r="B168" t="inlineStr">
        <is>
          <t>Pizza Jardineira</t>
        </is>
      </c>
      <c r="C168" t="inlineStr">
        <is>
          <t>Grande</t>
        </is>
      </c>
      <c r="D168" t="inlineStr">
        <is>
          <t>Loja (Retirada)</t>
        </is>
      </c>
      <c r="E168" s="6" t="n"/>
    </row>
    <row r="169">
      <c r="A169" t="inlineStr">
        <is>
          <t>Imperdíveis Pizzas salgadas</t>
        </is>
      </c>
      <c r="B169" t="inlineStr">
        <is>
          <t>Pizza Jardineira</t>
        </is>
      </c>
      <c r="C169" t="inlineStr">
        <is>
          <t>Grande</t>
        </is>
      </c>
      <c r="D169" t="inlineStr">
        <is>
          <t>Keeta</t>
        </is>
      </c>
      <c r="E169" s="6" t="n"/>
    </row>
    <row r="170">
      <c r="A170" t="inlineStr">
        <is>
          <t>Imperdíveis Pizzas salgadas</t>
        </is>
      </c>
      <c r="B170" t="inlineStr">
        <is>
          <t>Pizza Frango Especial</t>
        </is>
      </c>
      <c r="C170" t="inlineStr">
        <is>
          <t>Brotinho</t>
        </is>
      </c>
      <c r="D170" t="inlineStr">
        <is>
          <t>iFood</t>
        </is>
      </c>
      <c r="E170" s="6" t="n">
        <v>68.90000000000001</v>
      </c>
    </row>
    <row r="171">
      <c r="A171" t="inlineStr">
        <is>
          <t>Imperdíveis Pizzas salgadas</t>
        </is>
      </c>
      <c r="B171" t="inlineStr">
        <is>
          <t>Pizza Frango Especial</t>
        </is>
      </c>
      <c r="C171" t="inlineStr">
        <is>
          <t>Brotinho</t>
        </is>
      </c>
      <c r="D171" t="inlineStr">
        <is>
          <t>Loja (Retirada)</t>
        </is>
      </c>
      <c r="E171" s="6" t="n"/>
    </row>
    <row r="172">
      <c r="A172" t="inlineStr">
        <is>
          <t>Imperdíveis Pizzas salgadas</t>
        </is>
      </c>
      <c r="B172" t="inlineStr">
        <is>
          <t>Pizza Frango Especial</t>
        </is>
      </c>
      <c r="C172" t="inlineStr">
        <is>
          <t>Brotinho</t>
        </is>
      </c>
      <c r="D172" t="inlineStr">
        <is>
          <t>Keeta</t>
        </is>
      </c>
      <c r="E172" s="6" t="n"/>
    </row>
    <row r="173">
      <c r="A173" t="inlineStr">
        <is>
          <t>Imperdíveis Pizzas salgadas</t>
        </is>
      </c>
      <c r="B173" t="inlineStr">
        <is>
          <t>Pizza Frango Especial</t>
        </is>
      </c>
      <c r="C173" t="inlineStr">
        <is>
          <t>Grande</t>
        </is>
      </c>
      <c r="D173" t="inlineStr">
        <is>
          <t>iFood</t>
        </is>
      </c>
      <c r="E173" s="6" t="n"/>
    </row>
    <row r="174">
      <c r="A174" t="inlineStr">
        <is>
          <t>Imperdíveis Pizzas salgadas</t>
        </is>
      </c>
      <c r="B174" t="inlineStr">
        <is>
          <t>Pizza Frango Especial</t>
        </is>
      </c>
      <c r="C174" t="inlineStr">
        <is>
          <t>Grande</t>
        </is>
      </c>
      <c r="D174" t="inlineStr">
        <is>
          <t>Loja (Retirada)</t>
        </is>
      </c>
      <c r="E174" s="6" t="n"/>
    </row>
    <row r="175">
      <c r="A175" t="inlineStr">
        <is>
          <t>Imperdíveis Pizzas salgadas</t>
        </is>
      </c>
      <c r="B175" t="inlineStr">
        <is>
          <t>Pizza Frango Especial</t>
        </is>
      </c>
      <c r="C175" t="inlineStr">
        <is>
          <t>Grande</t>
        </is>
      </c>
      <c r="D175" t="inlineStr">
        <is>
          <t>Keeta</t>
        </is>
      </c>
      <c r="E175" s="6" t="n"/>
    </row>
    <row r="176">
      <c r="A176" t="inlineStr">
        <is>
          <t>Imperdíveis Pizzas salgadas</t>
        </is>
      </c>
      <c r="B176" t="inlineStr">
        <is>
          <t>Pizza Frango Catupiry</t>
        </is>
      </c>
      <c r="C176" t="inlineStr">
        <is>
          <t>Brotinho</t>
        </is>
      </c>
      <c r="D176" t="inlineStr">
        <is>
          <t>iFood</t>
        </is>
      </c>
      <c r="E176" s="6" t="n">
        <v>66.90000000000001</v>
      </c>
    </row>
    <row r="177">
      <c r="A177" t="inlineStr">
        <is>
          <t>Imperdíveis Pizzas salgadas</t>
        </is>
      </c>
      <c r="B177" t="inlineStr">
        <is>
          <t>Pizza Frango Catupiry</t>
        </is>
      </c>
      <c r="C177" t="inlineStr">
        <is>
          <t>Brotinho</t>
        </is>
      </c>
      <c r="D177" t="inlineStr">
        <is>
          <t>Loja (Retirada)</t>
        </is>
      </c>
      <c r="E177" s="6" t="n"/>
    </row>
    <row r="178">
      <c r="A178" t="inlineStr">
        <is>
          <t>Imperdíveis Pizzas salgadas</t>
        </is>
      </c>
      <c r="B178" t="inlineStr">
        <is>
          <t>Pizza Frango Catupiry</t>
        </is>
      </c>
      <c r="C178" t="inlineStr">
        <is>
          <t>Brotinho</t>
        </is>
      </c>
      <c r="D178" t="inlineStr">
        <is>
          <t>Keeta</t>
        </is>
      </c>
      <c r="E178" s="6" t="n"/>
    </row>
    <row r="179">
      <c r="A179" t="inlineStr">
        <is>
          <t>Imperdíveis Pizzas salgadas</t>
        </is>
      </c>
      <c r="B179" t="inlineStr">
        <is>
          <t>Pizza Frango Catupiry</t>
        </is>
      </c>
      <c r="C179" t="inlineStr">
        <is>
          <t>Grande</t>
        </is>
      </c>
      <c r="D179" t="inlineStr">
        <is>
          <t>iFood</t>
        </is>
      </c>
      <c r="E179" s="6" t="n"/>
    </row>
    <row r="180">
      <c r="A180" t="inlineStr">
        <is>
          <t>Imperdíveis Pizzas salgadas</t>
        </is>
      </c>
      <c r="B180" t="inlineStr">
        <is>
          <t>Pizza Frango Catupiry</t>
        </is>
      </c>
      <c r="C180" t="inlineStr">
        <is>
          <t>Grande</t>
        </is>
      </c>
      <c r="D180" t="inlineStr">
        <is>
          <t>Loja (Retirada)</t>
        </is>
      </c>
      <c r="E180" s="6" t="n"/>
    </row>
    <row r="181">
      <c r="A181" t="inlineStr">
        <is>
          <t>Imperdíveis Pizzas salgadas</t>
        </is>
      </c>
      <c r="B181" t="inlineStr">
        <is>
          <t>Pizza Frango Catupiry</t>
        </is>
      </c>
      <c r="C181" t="inlineStr">
        <is>
          <t>Grande</t>
        </is>
      </c>
      <c r="D181" t="inlineStr">
        <is>
          <t>Keeta</t>
        </is>
      </c>
      <c r="E181" s="6" t="n"/>
    </row>
    <row r="182">
      <c r="A182" t="inlineStr">
        <is>
          <t>Imperdíveis Pizzas salgadas</t>
        </is>
      </c>
      <c r="B182" t="inlineStr">
        <is>
          <t>Pizza Filé Mignon</t>
        </is>
      </c>
      <c r="C182" t="inlineStr">
        <is>
          <t>Brotinho</t>
        </is>
      </c>
      <c r="D182" t="inlineStr">
        <is>
          <t>iFood</t>
        </is>
      </c>
      <c r="E182" s="6" t="n">
        <v>97.90000000000001</v>
      </c>
    </row>
    <row r="183">
      <c r="A183" t="inlineStr">
        <is>
          <t>Imperdíveis Pizzas salgadas</t>
        </is>
      </c>
      <c r="B183" t="inlineStr">
        <is>
          <t>Pizza Filé Mignon</t>
        </is>
      </c>
      <c r="C183" t="inlineStr">
        <is>
          <t>Brotinho</t>
        </is>
      </c>
      <c r="D183" t="inlineStr">
        <is>
          <t>Loja (Retirada)</t>
        </is>
      </c>
      <c r="E183" s="6" t="n"/>
    </row>
    <row r="184">
      <c r="A184" t="inlineStr">
        <is>
          <t>Imperdíveis Pizzas salgadas</t>
        </is>
      </c>
      <c r="B184" t="inlineStr">
        <is>
          <t>Pizza Filé Mignon</t>
        </is>
      </c>
      <c r="C184" t="inlineStr">
        <is>
          <t>Brotinho</t>
        </is>
      </c>
      <c r="D184" t="inlineStr">
        <is>
          <t>Keeta</t>
        </is>
      </c>
      <c r="E184" s="6" t="n"/>
    </row>
    <row r="185">
      <c r="A185" t="inlineStr">
        <is>
          <t>Imperdíveis Pizzas salgadas</t>
        </is>
      </c>
      <c r="B185" t="inlineStr">
        <is>
          <t>Pizza Filé Mignon</t>
        </is>
      </c>
      <c r="C185" t="inlineStr">
        <is>
          <t>Grande</t>
        </is>
      </c>
      <c r="D185" t="inlineStr">
        <is>
          <t>iFood</t>
        </is>
      </c>
      <c r="E185" s="6" t="n"/>
    </row>
    <row r="186">
      <c r="A186" t="inlineStr">
        <is>
          <t>Imperdíveis Pizzas salgadas</t>
        </is>
      </c>
      <c r="B186" t="inlineStr">
        <is>
          <t>Pizza Filé Mignon</t>
        </is>
      </c>
      <c r="C186" t="inlineStr">
        <is>
          <t>Grande</t>
        </is>
      </c>
      <c r="D186" t="inlineStr">
        <is>
          <t>Loja (Retirada)</t>
        </is>
      </c>
      <c r="E186" s="6" t="n"/>
    </row>
    <row r="187">
      <c r="A187" t="inlineStr">
        <is>
          <t>Imperdíveis Pizzas salgadas</t>
        </is>
      </c>
      <c r="B187" t="inlineStr">
        <is>
          <t>Pizza Filé Mignon</t>
        </is>
      </c>
      <c r="C187" t="inlineStr">
        <is>
          <t>Grande</t>
        </is>
      </c>
      <c r="D187" t="inlineStr">
        <is>
          <t>Keeta</t>
        </is>
      </c>
      <c r="E187" s="6" t="n"/>
    </row>
    <row r="188">
      <c r="A188" t="inlineStr">
        <is>
          <t>Imperdíveis Pizzas salgadas</t>
        </is>
      </c>
      <c r="B188" t="inlineStr">
        <is>
          <t>Pizza Favorita</t>
        </is>
      </c>
      <c r="C188" t="inlineStr">
        <is>
          <t>Brotinho</t>
        </is>
      </c>
      <c r="D188" t="inlineStr">
        <is>
          <t>iFood</t>
        </is>
      </c>
      <c r="E188" s="6" t="n">
        <v>59.9</v>
      </c>
    </row>
    <row r="189">
      <c r="A189" t="inlineStr">
        <is>
          <t>Imperdíveis Pizzas salgadas</t>
        </is>
      </c>
      <c r="B189" t="inlineStr">
        <is>
          <t>Pizza Favorita</t>
        </is>
      </c>
      <c r="C189" t="inlineStr">
        <is>
          <t>Brotinho</t>
        </is>
      </c>
      <c r="D189" t="inlineStr">
        <is>
          <t>Loja (Retirada)</t>
        </is>
      </c>
      <c r="E189" s="6" t="n"/>
    </row>
    <row r="190">
      <c r="A190" t="inlineStr">
        <is>
          <t>Imperdíveis Pizzas salgadas</t>
        </is>
      </c>
      <c r="B190" t="inlineStr">
        <is>
          <t>Pizza Favorita</t>
        </is>
      </c>
      <c r="C190" t="inlineStr">
        <is>
          <t>Brotinho</t>
        </is>
      </c>
      <c r="D190" t="inlineStr">
        <is>
          <t>Keeta</t>
        </is>
      </c>
      <c r="E190" s="6" t="n"/>
    </row>
    <row r="191">
      <c r="A191" t="inlineStr">
        <is>
          <t>Imperdíveis Pizzas salgadas</t>
        </is>
      </c>
      <c r="B191" t="inlineStr">
        <is>
          <t>Pizza Favorita</t>
        </is>
      </c>
      <c r="C191" t="inlineStr">
        <is>
          <t>Grande</t>
        </is>
      </c>
      <c r="D191" t="inlineStr">
        <is>
          <t>iFood</t>
        </is>
      </c>
      <c r="E191" s="6" t="n"/>
    </row>
    <row r="192">
      <c r="A192" t="inlineStr">
        <is>
          <t>Imperdíveis Pizzas salgadas</t>
        </is>
      </c>
      <c r="B192" t="inlineStr">
        <is>
          <t>Pizza Favorita</t>
        </is>
      </c>
      <c r="C192" t="inlineStr">
        <is>
          <t>Grande</t>
        </is>
      </c>
      <c r="D192" t="inlineStr">
        <is>
          <t>Loja (Retirada)</t>
        </is>
      </c>
      <c r="E192" s="6" t="n"/>
    </row>
    <row r="193">
      <c r="A193" t="inlineStr">
        <is>
          <t>Imperdíveis Pizzas salgadas</t>
        </is>
      </c>
      <c r="B193" t="inlineStr">
        <is>
          <t>Pizza Favorita</t>
        </is>
      </c>
      <c r="C193" t="inlineStr">
        <is>
          <t>Grande</t>
        </is>
      </c>
      <c r="D193" t="inlineStr">
        <is>
          <t>Keeta</t>
        </is>
      </c>
      <c r="E193" s="6" t="n"/>
    </row>
    <row r="194">
      <c r="A194" t="inlineStr">
        <is>
          <t>Imperdíveis Pizzas salgadas</t>
        </is>
      </c>
      <c r="B194" t="inlineStr">
        <is>
          <t>Pizza Executiva</t>
        </is>
      </c>
      <c r="C194" t="inlineStr">
        <is>
          <t>Brotinho</t>
        </is>
      </c>
      <c r="D194" t="inlineStr">
        <is>
          <t>iFood</t>
        </is>
      </c>
      <c r="E194" s="6" t="n">
        <v>59.9</v>
      </c>
    </row>
    <row r="195">
      <c r="A195" t="inlineStr">
        <is>
          <t>Imperdíveis Pizzas salgadas</t>
        </is>
      </c>
      <c r="B195" t="inlineStr">
        <is>
          <t>Pizza Executiva</t>
        </is>
      </c>
      <c r="C195" t="inlineStr">
        <is>
          <t>Brotinho</t>
        </is>
      </c>
      <c r="D195" t="inlineStr">
        <is>
          <t>Loja (Retirada)</t>
        </is>
      </c>
      <c r="E195" s="6" t="n"/>
    </row>
    <row r="196">
      <c r="A196" t="inlineStr">
        <is>
          <t>Imperdíveis Pizzas salgadas</t>
        </is>
      </c>
      <c r="B196" t="inlineStr">
        <is>
          <t>Pizza Executiva</t>
        </is>
      </c>
      <c r="C196" t="inlineStr">
        <is>
          <t>Brotinho</t>
        </is>
      </c>
      <c r="D196" t="inlineStr">
        <is>
          <t>Keeta</t>
        </is>
      </c>
      <c r="E196" s="6" t="n"/>
    </row>
    <row r="197">
      <c r="A197" t="inlineStr">
        <is>
          <t>Imperdíveis Pizzas salgadas</t>
        </is>
      </c>
      <c r="B197" t="inlineStr">
        <is>
          <t>Pizza Executiva</t>
        </is>
      </c>
      <c r="C197" t="inlineStr">
        <is>
          <t>Grande</t>
        </is>
      </c>
      <c r="D197" t="inlineStr">
        <is>
          <t>iFood</t>
        </is>
      </c>
      <c r="E197" s="6" t="n"/>
    </row>
    <row r="198">
      <c r="A198" t="inlineStr">
        <is>
          <t>Imperdíveis Pizzas salgadas</t>
        </is>
      </c>
      <c r="B198" t="inlineStr">
        <is>
          <t>Pizza Executiva</t>
        </is>
      </c>
      <c r="C198" t="inlineStr">
        <is>
          <t>Grande</t>
        </is>
      </c>
      <c r="D198" t="inlineStr">
        <is>
          <t>Loja (Retirada)</t>
        </is>
      </c>
      <c r="E198" s="6" t="n"/>
    </row>
    <row r="199">
      <c r="A199" t="inlineStr">
        <is>
          <t>Imperdíveis Pizzas salgadas</t>
        </is>
      </c>
      <c r="B199" t="inlineStr">
        <is>
          <t>Pizza Executiva</t>
        </is>
      </c>
      <c r="C199" t="inlineStr">
        <is>
          <t>Grande</t>
        </is>
      </c>
      <c r="D199" t="inlineStr">
        <is>
          <t>Keeta</t>
        </is>
      </c>
      <c r="E199" s="6" t="n"/>
    </row>
    <row r="200">
      <c r="A200" t="inlineStr">
        <is>
          <t>Imperdíveis Pizzas salgadas</t>
        </is>
      </c>
      <c r="B200" t="inlineStr">
        <is>
          <t>Pizza Especial</t>
        </is>
      </c>
      <c r="C200" t="inlineStr">
        <is>
          <t>Brotinho</t>
        </is>
      </c>
      <c r="D200" t="inlineStr">
        <is>
          <t>iFood</t>
        </is>
      </c>
      <c r="E200" s="6" t="n">
        <v>83.90000000000001</v>
      </c>
    </row>
    <row r="201">
      <c r="A201" t="inlineStr">
        <is>
          <t>Imperdíveis Pizzas salgadas</t>
        </is>
      </c>
      <c r="B201" t="inlineStr">
        <is>
          <t>Pizza Especial</t>
        </is>
      </c>
      <c r="C201" t="inlineStr">
        <is>
          <t>Brotinho</t>
        </is>
      </c>
      <c r="D201" t="inlineStr">
        <is>
          <t>Loja (Retirada)</t>
        </is>
      </c>
      <c r="E201" s="6" t="n"/>
    </row>
    <row r="202">
      <c r="A202" t="inlineStr">
        <is>
          <t>Imperdíveis Pizzas salgadas</t>
        </is>
      </c>
      <c r="B202" t="inlineStr">
        <is>
          <t>Pizza Especial</t>
        </is>
      </c>
      <c r="C202" t="inlineStr">
        <is>
          <t>Brotinho</t>
        </is>
      </c>
      <c r="D202" t="inlineStr">
        <is>
          <t>Keeta</t>
        </is>
      </c>
      <c r="E202" s="6" t="n"/>
    </row>
    <row r="203">
      <c r="A203" t="inlineStr">
        <is>
          <t>Imperdíveis Pizzas salgadas</t>
        </is>
      </c>
      <c r="B203" t="inlineStr">
        <is>
          <t>Pizza Especial</t>
        </is>
      </c>
      <c r="C203" t="inlineStr">
        <is>
          <t>Grande</t>
        </is>
      </c>
      <c r="D203" t="inlineStr">
        <is>
          <t>iFood</t>
        </is>
      </c>
      <c r="E203" s="6" t="n"/>
    </row>
    <row r="204">
      <c r="A204" t="inlineStr">
        <is>
          <t>Imperdíveis Pizzas salgadas</t>
        </is>
      </c>
      <c r="B204" t="inlineStr">
        <is>
          <t>Pizza Especial</t>
        </is>
      </c>
      <c r="C204" t="inlineStr">
        <is>
          <t>Grande</t>
        </is>
      </c>
      <c r="D204" t="inlineStr">
        <is>
          <t>Loja (Retirada)</t>
        </is>
      </c>
      <c r="E204" s="6" t="n"/>
    </row>
    <row r="205">
      <c r="A205" t="inlineStr">
        <is>
          <t>Imperdíveis Pizzas salgadas</t>
        </is>
      </c>
      <c r="B205" t="inlineStr">
        <is>
          <t>Pizza Especial</t>
        </is>
      </c>
      <c r="C205" t="inlineStr">
        <is>
          <t>Grande</t>
        </is>
      </c>
      <c r="D205" t="inlineStr">
        <is>
          <t>Keeta</t>
        </is>
      </c>
      <c r="E205" s="6" t="n"/>
    </row>
    <row r="206">
      <c r="A206" t="inlineStr">
        <is>
          <t>Imperdíveis Pizzas salgadas</t>
        </is>
      </c>
      <c r="B206" t="inlineStr">
        <is>
          <t>Pizza Espanhola</t>
        </is>
      </c>
      <c r="C206" t="inlineStr">
        <is>
          <t>Brotinho</t>
        </is>
      </c>
      <c r="D206" t="inlineStr">
        <is>
          <t>iFood</t>
        </is>
      </c>
      <c r="E206" s="6" t="n">
        <v>83.90000000000001</v>
      </c>
    </row>
    <row r="207">
      <c r="A207" t="inlineStr">
        <is>
          <t>Imperdíveis Pizzas salgadas</t>
        </is>
      </c>
      <c r="B207" t="inlineStr">
        <is>
          <t>Pizza Espanhola</t>
        </is>
      </c>
      <c r="C207" t="inlineStr">
        <is>
          <t>Brotinho</t>
        </is>
      </c>
      <c r="D207" t="inlineStr">
        <is>
          <t>Loja (Retirada)</t>
        </is>
      </c>
      <c r="E207" s="6" t="n"/>
    </row>
    <row r="208">
      <c r="A208" t="inlineStr">
        <is>
          <t>Imperdíveis Pizzas salgadas</t>
        </is>
      </c>
      <c r="B208" t="inlineStr">
        <is>
          <t>Pizza Espanhola</t>
        </is>
      </c>
      <c r="C208" t="inlineStr">
        <is>
          <t>Brotinho</t>
        </is>
      </c>
      <c r="D208" t="inlineStr">
        <is>
          <t>Keeta</t>
        </is>
      </c>
      <c r="E208" s="6" t="n"/>
    </row>
    <row r="209">
      <c r="A209" t="inlineStr">
        <is>
          <t>Imperdíveis Pizzas salgadas</t>
        </is>
      </c>
      <c r="B209" t="inlineStr">
        <is>
          <t>Pizza Espanhola</t>
        </is>
      </c>
      <c r="C209" t="inlineStr">
        <is>
          <t>Grande</t>
        </is>
      </c>
      <c r="D209" t="inlineStr">
        <is>
          <t>iFood</t>
        </is>
      </c>
      <c r="E209" s="6" t="n"/>
    </row>
    <row r="210">
      <c r="A210" t="inlineStr">
        <is>
          <t>Imperdíveis Pizzas salgadas</t>
        </is>
      </c>
      <c r="B210" t="inlineStr">
        <is>
          <t>Pizza Espanhola</t>
        </is>
      </c>
      <c r="C210" t="inlineStr">
        <is>
          <t>Grande</t>
        </is>
      </c>
      <c r="D210" t="inlineStr">
        <is>
          <t>Loja (Retirada)</t>
        </is>
      </c>
      <c r="E210" s="6" t="n"/>
    </row>
    <row r="211">
      <c r="A211" t="inlineStr">
        <is>
          <t>Imperdíveis Pizzas salgadas</t>
        </is>
      </c>
      <c r="B211" t="inlineStr">
        <is>
          <t>Pizza Espanhola</t>
        </is>
      </c>
      <c r="C211" t="inlineStr">
        <is>
          <t>Grande</t>
        </is>
      </c>
      <c r="D211" t="inlineStr">
        <is>
          <t>Keeta</t>
        </is>
      </c>
      <c r="E211" s="6" t="n"/>
    </row>
    <row r="212">
      <c r="A212" t="inlineStr">
        <is>
          <t>Imperdíveis Pizzas salgadas</t>
        </is>
      </c>
      <c r="B212" t="inlineStr">
        <is>
          <t>Pizza Escarola Especial</t>
        </is>
      </c>
      <c r="C212" t="inlineStr">
        <is>
          <t>Brotinho</t>
        </is>
      </c>
      <c r="D212" t="inlineStr">
        <is>
          <t>iFood</t>
        </is>
      </c>
      <c r="E212" s="6" t="n">
        <v>63.9</v>
      </c>
    </row>
    <row r="213">
      <c r="A213" t="inlineStr">
        <is>
          <t>Imperdíveis Pizzas salgadas</t>
        </is>
      </c>
      <c r="B213" t="inlineStr">
        <is>
          <t>Pizza Escarola Especial</t>
        </is>
      </c>
      <c r="C213" t="inlineStr">
        <is>
          <t>Brotinho</t>
        </is>
      </c>
      <c r="D213" t="inlineStr">
        <is>
          <t>Loja (Retirada)</t>
        </is>
      </c>
      <c r="E213" s="6" t="n"/>
    </row>
    <row r="214">
      <c r="A214" t="inlineStr">
        <is>
          <t>Imperdíveis Pizzas salgadas</t>
        </is>
      </c>
      <c r="B214" t="inlineStr">
        <is>
          <t>Pizza Escarola Especial</t>
        </is>
      </c>
      <c r="C214" t="inlineStr">
        <is>
          <t>Brotinho</t>
        </is>
      </c>
      <c r="D214" t="inlineStr">
        <is>
          <t>Keeta</t>
        </is>
      </c>
      <c r="E214" s="6" t="n"/>
    </row>
    <row r="215">
      <c r="A215" t="inlineStr">
        <is>
          <t>Imperdíveis Pizzas salgadas</t>
        </is>
      </c>
      <c r="B215" t="inlineStr">
        <is>
          <t>Pizza Escarola Especial</t>
        </is>
      </c>
      <c r="C215" t="inlineStr">
        <is>
          <t>Grande</t>
        </is>
      </c>
      <c r="D215" t="inlineStr">
        <is>
          <t>iFood</t>
        </is>
      </c>
      <c r="E215" s="6" t="n"/>
    </row>
    <row r="216">
      <c r="A216" t="inlineStr">
        <is>
          <t>Imperdíveis Pizzas salgadas</t>
        </is>
      </c>
      <c r="B216" t="inlineStr">
        <is>
          <t>Pizza Escarola Especial</t>
        </is>
      </c>
      <c r="C216" t="inlineStr">
        <is>
          <t>Grande</t>
        </is>
      </c>
      <c r="D216" t="inlineStr">
        <is>
          <t>Loja (Retirada)</t>
        </is>
      </c>
      <c r="E216" s="6" t="n"/>
    </row>
    <row r="217">
      <c r="A217" t="inlineStr">
        <is>
          <t>Imperdíveis Pizzas salgadas</t>
        </is>
      </c>
      <c r="B217" t="inlineStr">
        <is>
          <t>Pizza Escarola Especial</t>
        </is>
      </c>
      <c r="C217" t="inlineStr">
        <is>
          <t>Grande</t>
        </is>
      </c>
      <c r="D217" t="inlineStr">
        <is>
          <t>Keeta</t>
        </is>
      </c>
      <c r="E217" s="6" t="n"/>
    </row>
    <row r="218">
      <c r="A218" t="inlineStr">
        <is>
          <t>Imperdíveis Pizzas salgadas</t>
        </is>
      </c>
      <c r="B218" t="inlineStr">
        <is>
          <t>Pizza Escarola</t>
        </is>
      </c>
      <c r="C218" t="inlineStr">
        <is>
          <t>Brotinho</t>
        </is>
      </c>
      <c r="D218" t="inlineStr">
        <is>
          <t>iFood</t>
        </is>
      </c>
      <c r="E218" s="6" t="n">
        <v>55.9</v>
      </c>
    </row>
    <row r="219">
      <c r="A219" t="inlineStr">
        <is>
          <t>Imperdíveis Pizzas salgadas</t>
        </is>
      </c>
      <c r="B219" t="inlineStr">
        <is>
          <t>Pizza Escarola</t>
        </is>
      </c>
      <c r="C219" t="inlineStr">
        <is>
          <t>Brotinho</t>
        </is>
      </c>
      <c r="D219" t="inlineStr">
        <is>
          <t>Loja (Retirada)</t>
        </is>
      </c>
      <c r="E219" s="6" t="n"/>
    </row>
    <row r="220">
      <c r="A220" t="inlineStr">
        <is>
          <t>Imperdíveis Pizzas salgadas</t>
        </is>
      </c>
      <c r="B220" t="inlineStr">
        <is>
          <t>Pizza Escarola</t>
        </is>
      </c>
      <c r="C220" t="inlineStr">
        <is>
          <t>Brotinho</t>
        </is>
      </c>
      <c r="D220" t="inlineStr">
        <is>
          <t>Keeta</t>
        </is>
      </c>
      <c r="E220" s="6" t="n"/>
    </row>
    <row r="221">
      <c r="A221" t="inlineStr">
        <is>
          <t>Imperdíveis Pizzas salgadas</t>
        </is>
      </c>
      <c r="B221" t="inlineStr">
        <is>
          <t>Pizza Escarola</t>
        </is>
      </c>
      <c r="C221" t="inlineStr">
        <is>
          <t>Grande</t>
        </is>
      </c>
      <c r="D221" t="inlineStr">
        <is>
          <t>iFood</t>
        </is>
      </c>
      <c r="E221" s="6" t="n"/>
    </row>
    <row r="222">
      <c r="A222" t="inlineStr">
        <is>
          <t>Imperdíveis Pizzas salgadas</t>
        </is>
      </c>
      <c r="B222" t="inlineStr">
        <is>
          <t>Pizza Escarola</t>
        </is>
      </c>
      <c r="C222" t="inlineStr">
        <is>
          <t>Grande</t>
        </is>
      </c>
      <c r="D222" t="inlineStr">
        <is>
          <t>Loja (Retirada)</t>
        </is>
      </c>
      <c r="E222" s="6" t="n"/>
    </row>
    <row r="223">
      <c r="A223" t="inlineStr">
        <is>
          <t>Imperdíveis Pizzas salgadas</t>
        </is>
      </c>
      <c r="B223" t="inlineStr">
        <is>
          <t>Pizza Escarola</t>
        </is>
      </c>
      <c r="C223" t="inlineStr">
        <is>
          <t>Grande</t>
        </is>
      </c>
      <c r="D223" t="inlineStr">
        <is>
          <t>Keeta</t>
        </is>
      </c>
      <c r="E223" s="6" t="n"/>
    </row>
    <row r="224">
      <c r="A224" t="inlineStr">
        <is>
          <t>Imperdíveis Pizzas salgadas</t>
        </is>
      </c>
      <c r="B224" t="inlineStr">
        <is>
          <t>Pizza Do Pizzaiolo</t>
        </is>
      </c>
      <c r="C224" t="inlineStr">
        <is>
          <t>Brotinho</t>
        </is>
      </c>
      <c r="D224" t="inlineStr">
        <is>
          <t>iFood</t>
        </is>
      </c>
      <c r="E224" s="6" t="n">
        <v>64.90000000000001</v>
      </c>
    </row>
    <row r="225">
      <c r="A225" t="inlineStr">
        <is>
          <t>Imperdíveis Pizzas salgadas</t>
        </is>
      </c>
      <c r="B225" t="inlineStr">
        <is>
          <t>Pizza Do Pizzaiolo</t>
        </is>
      </c>
      <c r="C225" t="inlineStr">
        <is>
          <t>Brotinho</t>
        </is>
      </c>
      <c r="D225" t="inlineStr">
        <is>
          <t>Loja (Retirada)</t>
        </is>
      </c>
      <c r="E225" s="6" t="n"/>
    </row>
    <row r="226">
      <c r="A226" t="inlineStr">
        <is>
          <t>Imperdíveis Pizzas salgadas</t>
        </is>
      </c>
      <c r="B226" t="inlineStr">
        <is>
          <t>Pizza Do Pizzaiolo</t>
        </is>
      </c>
      <c r="C226" t="inlineStr">
        <is>
          <t>Brotinho</t>
        </is>
      </c>
      <c r="D226" t="inlineStr">
        <is>
          <t>Keeta</t>
        </is>
      </c>
      <c r="E226" s="6" t="n"/>
    </row>
    <row r="227">
      <c r="A227" t="inlineStr">
        <is>
          <t>Imperdíveis Pizzas salgadas</t>
        </is>
      </c>
      <c r="B227" t="inlineStr">
        <is>
          <t>Pizza Do Pizzaiolo</t>
        </is>
      </c>
      <c r="C227" t="inlineStr">
        <is>
          <t>Grande</t>
        </is>
      </c>
      <c r="D227" t="inlineStr">
        <is>
          <t>iFood</t>
        </is>
      </c>
      <c r="E227" s="6" t="n"/>
    </row>
    <row r="228">
      <c r="A228" t="inlineStr">
        <is>
          <t>Imperdíveis Pizzas salgadas</t>
        </is>
      </c>
      <c r="B228" t="inlineStr">
        <is>
          <t>Pizza Do Pizzaiolo</t>
        </is>
      </c>
      <c r="C228" t="inlineStr">
        <is>
          <t>Grande</t>
        </is>
      </c>
      <c r="D228" t="inlineStr">
        <is>
          <t>Loja (Retirada)</t>
        </is>
      </c>
      <c r="E228" s="6" t="n"/>
    </row>
    <row r="229">
      <c r="A229" t="inlineStr">
        <is>
          <t>Imperdíveis Pizzas salgadas</t>
        </is>
      </c>
      <c r="B229" t="inlineStr">
        <is>
          <t>Pizza Do Pizzaiolo</t>
        </is>
      </c>
      <c r="C229" t="inlineStr">
        <is>
          <t>Grande</t>
        </is>
      </c>
      <c r="D229" t="inlineStr">
        <is>
          <t>Keeta</t>
        </is>
      </c>
      <c r="E229" s="6" t="n"/>
    </row>
    <row r="230">
      <c r="A230" t="inlineStr">
        <is>
          <t>Imperdíveis Pizzas salgadas</t>
        </is>
      </c>
      <c r="B230" t="inlineStr">
        <is>
          <t>Pizza Classic</t>
        </is>
      </c>
      <c r="C230" t="inlineStr">
        <is>
          <t>Brotinho</t>
        </is>
      </c>
      <c r="D230" t="inlineStr">
        <is>
          <t>iFood</t>
        </is>
      </c>
      <c r="E230" s="6" t="n">
        <v>68.90000000000001</v>
      </c>
    </row>
    <row r="231">
      <c r="A231" t="inlineStr">
        <is>
          <t>Imperdíveis Pizzas salgadas</t>
        </is>
      </c>
      <c r="B231" t="inlineStr">
        <is>
          <t>Pizza Classic</t>
        </is>
      </c>
      <c r="C231" t="inlineStr">
        <is>
          <t>Brotinho</t>
        </is>
      </c>
      <c r="D231" t="inlineStr">
        <is>
          <t>Loja (Retirada)</t>
        </is>
      </c>
      <c r="E231" s="6" t="n"/>
    </row>
    <row r="232">
      <c r="A232" t="inlineStr">
        <is>
          <t>Imperdíveis Pizzas salgadas</t>
        </is>
      </c>
      <c r="B232" t="inlineStr">
        <is>
          <t>Pizza Classic</t>
        </is>
      </c>
      <c r="C232" t="inlineStr">
        <is>
          <t>Brotinho</t>
        </is>
      </c>
      <c r="D232" t="inlineStr">
        <is>
          <t>Keeta</t>
        </is>
      </c>
      <c r="E232" s="6" t="n"/>
    </row>
    <row r="233">
      <c r="A233" t="inlineStr">
        <is>
          <t>Imperdíveis Pizzas salgadas</t>
        </is>
      </c>
      <c r="B233" t="inlineStr">
        <is>
          <t>Pizza Classic</t>
        </is>
      </c>
      <c r="C233" t="inlineStr">
        <is>
          <t>Grande</t>
        </is>
      </c>
      <c r="D233" t="inlineStr">
        <is>
          <t>iFood</t>
        </is>
      </c>
      <c r="E233" s="6" t="n"/>
    </row>
    <row r="234">
      <c r="A234" t="inlineStr">
        <is>
          <t>Imperdíveis Pizzas salgadas</t>
        </is>
      </c>
      <c r="B234" t="inlineStr">
        <is>
          <t>Pizza Classic</t>
        </is>
      </c>
      <c r="C234" t="inlineStr">
        <is>
          <t>Grande</t>
        </is>
      </c>
      <c r="D234" t="inlineStr">
        <is>
          <t>Loja (Retirada)</t>
        </is>
      </c>
      <c r="E234" s="6" t="n"/>
    </row>
    <row r="235">
      <c r="A235" t="inlineStr">
        <is>
          <t>Imperdíveis Pizzas salgadas</t>
        </is>
      </c>
      <c r="B235" t="inlineStr">
        <is>
          <t>Pizza Classic</t>
        </is>
      </c>
      <c r="C235" t="inlineStr">
        <is>
          <t>Grande</t>
        </is>
      </c>
      <c r="D235" t="inlineStr">
        <is>
          <t>Keeta</t>
        </is>
      </c>
      <c r="E235" s="6" t="n"/>
    </row>
    <row r="236">
      <c r="A236" t="inlineStr">
        <is>
          <t>Imperdíveis Pizzas salgadas</t>
        </is>
      </c>
      <c r="B236" t="inlineStr">
        <is>
          <t>Pizza Classe Especial</t>
        </is>
      </c>
      <c r="C236" t="inlineStr">
        <is>
          <t>Brotinho</t>
        </is>
      </c>
      <c r="D236" t="inlineStr">
        <is>
          <t>iFood</t>
        </is>
      </c>
      <c r="E236" s="6" t="n">
        <v>57.9</v>
      </c>
    </row>
    <row r="237">
      <c r="A237" t="inlineStr">
        <is>
          <t>Imperdíveis Pizzas salgadas</t>
        </is>
      </c>
      <c r="B237" t="inlineStr">
        <is>
          <t>Pizza Classe Especial</t>
        </is>
      </c>
      <c r="C237" t="inlineStr">
        <is>
          <t>Brotinho</t>
        </is>
      </c>
      <c r="D237" t="inlineStr">
        <is>
          <t>Loja (Retirada)</t>
        </is>
      </c>
      <c r="E237" s="6" t="n"/>
    </row>
    <row r="238">
      <c r="A238" t="inlineStr">
        <is>
          <t>Imperdíveis Pizzas salgadas</t>
        </is>
      </c>
      <c r="B238" t="inlineStr">
        <is>
          <t>Pizza Classe Especial</t>
        </is>
      </c>
      <c r="C238" t="inlineStr">
        <is>
          <t>Brotinho</t>
        </is>
      </c>
      <c r="D238" t="inlineStr">
        <is>
          <t>Keeta</t>
        </is>
      </c>
      <c r="E238" s="6" t="n"/>
    </row>
    <row r="239">
      <c r="A239" t="inlineStr">
        <is>
          <t>Imperdíveis Pizzas salgadas</t>
        </is>
      </c>
      <c r="B239" t="inlineStr">
        <is>
          <t>Pizza Classe Especial</t>
        </is>
      </c>
      <c r="C239" t="inlineStr">
        <is>
          <t>Grande</t>
        </is>
      </c>
      <c r="D239" t="inlineStr">
        <is>
          <t>iFood</t>
        </is>
      </c>
      <c r="E239" s="6" t="n"/>
    </row>
    <row r="240">
      <c r="A240" t="inlineStr">
        <is>
          <t>Imperdíveis Pizzas salgadas</t>
        </is>
      </c>
      <c r="B240" t="inlineStr">
        <is>
          <t>Pizza Classe Especial</t>
        </is>
      </c>
      <c r="C240" t="inlineStr">
        <is>
          <t>Grande</t>
        </is>
      </c>
      <c r="D240" t="inlineStr">
        <is>
          <t>Loja (Retirada)</t>
        </is>
      </c>
      <c r="E240" s="6" t="n"/>
    </row>
    <row r="241">
      <c r="A241" t="inlineStr">
        <is>
          <t>Imperdíveis Pizzas salgadas</t>
        </is>
      </c>
      <c r="B241" t="inlineStr">
        <is>
          <t>Pizza Classe Especial</t>
        </is>
      </c>
      <c r="C241" t="inlineStr">
        <is>
          <t>Grande</t>
        </is>
      </c>
      <c r="D241" t="inlineStr">
        <is>
          <t>Keeta</t>
        </is>
      </c>
      <c r="E241" s="6" t="n"/>
    </row>
    <row r="242">
      <c r="A242" t="inlineStr">
        <is>
          <t>Imperdíveis Pizzas salgadas</t>
        </is>
      </c>
      <c r="B242" t="inlineStr">
        <is>
          <t>Pizza Catupiry</t>
        </is>
      </c>
      <c r="C242" t="inlineStr">
        <is>
          <t>Brotinho</t>
        </is>
      </c>
      <c r="D242" t="inlineStr">
        <is>
          <t>iFood</t>
        </is>
      </c>
      <c r="E242" s="6" t="n">
        <v>57.9</v>
      </c>
    </row>
    <row r="243">
      <c r="A243" t="inlineStr">
        <is>
          <t>Imperdíveis Pizzas salgadas</t>
        </is>
      </c>
      <c r="B243" t="inlineStr">
        <is>
          <t>Pizza Catupiry</t>
        </is>
      </c>
      <c r="C243" t="inlineStr">
        <is>
          <t>Brotinho</t>
        </is>
      </c>
      <c r="D243" t="inlineStr">
        <is>
          <t>Loja (Retirada)</t>
        </is>
      </c>
      <c r="E243" s="6" t="n"/>
    </row>
    <row r="244">
      <c r="A244" t="inlineStr">
        <is>
          <t>Imperdíveis Pizzas salgadas</t>
        </is>
      </c>
      <c r="B244" t="inlineStr">
        <is>
          <t>Pizza Catupiry</t>
        </is>
      </c>
      <c r="C244" t="inlineStr">
        <is>
          <t>Brotinho</t>
        </is>
      </c>
      <c r="D244" t="inlineStr">
        <is>
          <t>Keeta</t>
        </is>
      </c>
      <c r="E244" s="6" t="n"/>
    </row>
    <row r="245">
      <c r="A245" t="inlineStr">
        <is>
          <t>Imperdíveis Pizzas salgadas</t>
        </is>
      </c>
      <c r="B245" t="inlineStr">
        <is>
          <t>Pizza Catupiry</t>
        </is>
      </c>
      <c r="C245" t="inlineStr">
        <is>
          <t>Grande</t>
        </is>
      </c>
      <c r="D245" t="inlineStr">
        <is>
          <t>iFood</t>
        </is>
      </c>
      <c r="E245" s="6" t="n"/>
    </row>
    <row r="246">
      <c r="A246" t="inlineStr">
        <is>
          <t>Imperdíveis Pizzas salgadas</t>
        </is>
      </c>
      <c r="B246" t="inlineStr">
        <is>
          <t>Pizza Catupiry</t>
        </is>
      </c>
      <c r="C246" t="inlineStr">
        <is>
          <t>Grande</t>
        </is>
      </c>
      <c r="D246" t="inlineStr">
        <is>
          <t>Loja (Retirada)</t>
        </is>
      </c>
      <c r="E246" s="6" t="n"/>
    </row>
    <row r="247">
      <c r="A247" t="inlineStr">
        <is>
          <t>Imperdíveis Pizzas salgadas</t>
        </is>
      </c>
      <c r="B247" t="inlineStr">
        <is>
          <t>Pizza Catupiry</t>
        </is>
      </c>
      <c r="C247" t="inlineStr">
        <is>
          <t>Grande</t>
        </is>
      </c>
      <c r="D247" t="inlineStr">
        <is>
          <t>Keeta</t>
        </is>
      </c>
      <c r="E247" s="6" t="n"/>
    </row>
    <row r="248">
      <c r="A248" t="inlineStr">
        <is>
          <t>Imperdíveis Pizzas salgadas</t>
        </is>
      </c>
      <c r="B248" t="inlineStr">
        <is>
          <t>Pizza Carne Seca</t>
        </is>
      </c>
      <c r="C248" t="inlineStr">
        <is>
          <t>Brotinho</t>
        </is>
      </c>
      <c r="D248" t="inlineStr">
        <is>
          <t>iFood</t>
        </is>
      </c>
      <c r="E248" s="6" t="n">
        <v>83.90000000000001</v>
      </c>
    </row>
    <row r="249">
      <c r="A249" t="inlineStr">
        <is>
          <t>Imperdíveis Pizzas salgadas</t>
        </is>
      </c>
      <c r="B249" t="inlineStr">
        <is>
          <t>Pizza Carne Seca</t>
        </is>
      </c>
      <c r="C249" t="inlineStr">
        <is>
          <t>Brotinho</t>
        </is>
      </c>
      <c r="D249" t="inlineStr">
        <is>
          <t>Loja (Retirada)</t>
        </is>
      </c>
      <c r="E249" s="6" t="n"/>
    </row>
    <row r="250">
      <c r="A250" t="inlineStr">
        <is>
          <t>Imperdíveis Pizzas salgadas</t>
        </is>
      </c>
      <c r="B250" t="inlineStr">
        <is>
          <t>Pizza Carne Seca</t>
        </is>
      </c>
      <c r="C250" t="inlineStr">
        <is>
          <t>Brotinho</t>
        </is>
      </c>
      <c r="D250" t="inlineStr">
        <is>
          <t>Keeta</t>
        </is>
      </c>
      <c r="E250" s="6" t="n"/>
    </row>
    <row r="251">
      <c r="A251" t="inlineStr">
        <is>
          <t>Imperdíveis Pizzas salgadas</t>
        </is>
      </c>
      <c r="B251" t="inlineStr">
        <is>
          <t>Pizza Carne Seca</t>
        </is>
      </c>
      <c r="C251" t="inlineStr">
        <is>
          <t>Grande</t>
        </is>
      </c>
      <c r="D251" t="inlineStr">
        <is>
          <t>iFood</t>
        </is>
      </c>
      <c r="E251" s="6" t="n"/>
    </row>
    <row r="252">
      <c r="A252" t="inlineStr">
        <is>
          <t>Imperdíveis Pizzas salgadas</t>
        </is>
      </c>
      <c r="B252" t="inlineStr">
        <is>
          <t>Pizza Carne Seca</t>
        </is>
      </c>
      <c r="C252" t="inlineStr">
        <is>
          <t>Grande</t>
        </is>
      </c>
      <c r="D252" t="inlineStr">
        <is>
          <t>Loja (Retirada)</t>
        </is>
      </c>
      <c r="E252" s="6" t="n"/>
    </row>
    <row r="253">
      <c r="A253" t="inlineStr">
        <is>
          <t>Imperdíveis Pizzas salgadas</t>
        </is>
      </c>
      <c r="B253" t="inlineStr">
        <is>
          <t>Pizza Carne Seca</t>
        </is>
      </c>
      <c r="C253" t="inlineStr">
        <is>
          <t>Grande</t>
        </is>
      </c>
      <c r="D253" t="inlineStr">
        <is>
          <t>Keeta</t>
        </is>
      </c>
      <c r="E253" s="6" t="n"/>
    </row>
    <row r="254">
      <c r="A254" t="inlineStr">
        <is>
          <t>Imperdíveis Pizzas salgadas</t>
        </is>
      </c>
      <c r="B254" t="inlineStr">
        <is>
          <t>Pizza Caprichosa</t>
        </is>
      </c>
      <c r="C254" t="inlineStr">
        <is>
          <t>Brotinho</t>
        </is>
      </c>
      <c r="D254" t="inlineStr">
        <is>
          <t>iFood</t>
        </is>
      </c>
      <c r="E254" s="6" t="n">
        <v>69.90000000000001</v>
      </c>
    </row>
    <row r="255">
      <c r="A255" t="inlineStr">
        <is>
          <t>Imperdíveis Pizzas salgadas</t>
        </is>
      </c>
      <c r="B255" t="inlineStr">
        <is>
          <t>Pizza Caprichosa</t>
        </is>
      </c>
      <c r="C255" t="inlineStr">
        <is>
          <t>Brotinho</t>
        </is>
      </c>
      <c r="D255" t="inlineStr">
        <is>
          <t>Loja (Retirada)</t>
        </is>
      </c>
      <c r="E255" s="6" t="n"/>
    </row>
    <row r="256">
      <c r="A256" t="inlineStr">
        <is>
          <t>Imperdíveis Pizzas salgadas</t>
        </is>
      </c>
      <c r="B256" t="inlineStr">
        <is>
          <t>Pizza Caprichosa</t>
        </is>
      </c>
      <c r="C256" t="inlineStr">
        <is>
          <t>Brotinho</t>
        </is>
      </c>
      <c r="D256" t="inlineStr">
        <is>
          <t>Keeta</t>
        </is>
      </c>
      <c r="E256" s="6" t="n"/>
    </row>
    <row r="257">
      <c r="A257" t="inlineStr">
        <is>
          <t>Imperdíveis Pizzas salgadas</t>
        </is>
      </c>
      <c r="B257" t="inlineStr">
        <is>
          <t>Pizza Caprichosa</t>
        </is>
      </c>
      <c r="C257" t="inlineStr">
        <is>
          <t>Grande</t>
        </is>
      </c>
      <c r="D257" t="inlineStr">
        <is>
          <t>iFood</t>
        </is>
      </c>
      <c r="E257" s="6" t="n"/>
    </row>
    <row r="258">
      <c r="A258" t="inlineStr">
        <is>
          <t>Imperdíveis Pizzas salgadas</t>
        </is>
      </c>
      <c r="B258" t="inlineStr">
        <is>
          <t>Pizza Caprichosa</t>
        </is>
      </c>
      <c r="C258" t="inlineStr">
        <is>
          <t>Grande</t>
        </is>
      </c>
      <c r="D258" t="inlineStr">
        <is>
          <t>Loja (Retirada)</t>
        </is>
      </c>
      <c r="E258" s="6" t="n"/>
    </row>
    <row r="259">
      <c r="A259" t="inlineStr">
        <is>
          <t>Imperdíveis Pizzas salgadas</t>
        </is>
      </c>
      <c r="B259" t="inlineStr">
        <is>
          <t>Pizza Caprichosa</t>
        </is>
      </c>
      <c r="C259" t="inlineStr">
        <is>
          <t>Grande</t>
        </is>
      </c>
      <c r="D259" t="inlineStr">
        <is>
          <t>Keeta</t>
        </is>
      </c>
      <c r="E259" s="6" t="n"/>
    </row>
    <row r="260">
      <c r="A260" t="inlineStr">
        <is>
          <t>Imperdíveis Pizzas salgadas</t>
        </is>
      </c>
      <c r="B260" t="inlineStr">
        <is>
          <t>Pizza Camarão</t>
        </is>
      </c>
      <c r="C260" t="inlineStr">
        <is>
          <t>Brotinho</t>
        </is>
      </c>
      <c r="D260" t="inlineStr">
        <is>
          <t>iFood</t>
        </is>
      </c>
      <c r="E260" s="6" t="n">
        <v>95.90000000000001</v>
      </c>
    </row>
    <row r="261">
      <c r="A261" t="inlineStr">
        <is>
          <t>Imperdíveis Pizzas salgadas</t>
        </is>
      </c>
      <c r="B261" t="inlineStr">
        <is>
          <t>Pizza Camarão</t>
        </is>
      </c>
      <c r="C261" t="inlineStr">
        <is>
          <t>Brotinho</t>
        </is>
      </c>
      <c r="D261" t="inlineStr">
        <is>
          <t>Loja (Retirada)</t>
        </is>
      </c>
      <c r="E261" s="6" t="n"/>
    </row>
    <row r="262">
      <c r="A262" t="inlineStr">
        <is>
          <t>Imperdíveis Pizzas salgadas</t>
        </is>
      </c>
      <c r="B262" t="inlineStr">
        <is>
          <t>Pizza Camarão</t>
        </is>
      </c>
      <c r="C262" t="inlineStr">
        <is>
          <t>Brotinho</t>
        </is>
      </c>
      <c r="D262" t="inlineStr">
        <is>
          <t>Keeta</t>
        </is>
      </c>
      <c r="E262" s="6" t="n"/>
    </row>
    <row r="263">
      <c r="A263" t="inlineStr">
        <is>
          <t>Imperdíveis Pizzas salgadas</t>
        </is>
      </c>
      <c r="B263" t="inlineStr">
        <is>
          <t>Pizza Camarão</t>
        </is>
      </c>
      <c r="C263" t="inlineStr">
        <is>
          <t>Grande</t>
        </is>
      </c>
      <c r="D263" t="inlineStr">
        <is>
          <t>iFood</t>
        </is>
      </c>
      <c r="E263" s="6" t="n"/>
    </row>
    <row r="264">
      <c r="A264" t="inlineStr">
        <is>
          <t>Imperdíveis Pizzas salgadas</t>
        </is>
      </c>
      <c r="B264" t="inlineStr">
        <is>
          <t>Pizza Camarão</t>
        </is>
      </c>
      <c r="C264" t="inlineStr">
        <is>
          <t>Grande</t>
        </is>
      </c>
      <c r="D264" t="inlineStr">
        <is>
          <t>Loja (Retirada)</t>
        </is>
      </c>
      <c r="E264" s="6" t="n"/>
    </row>
    <row r="265">
      <c r="A265" t="inlineStr">
        <is>
          <t>Imperdíveis Pizzas salgadas</t>
        </is>
      </c>
      <c r="B265" t="inlineStr">
        <is>
          <t>Pizza Camarão</t>
        </is>
      </c>
      <c r="C265" t="inlineStr">
        <is>
          <t>Grande</t>
        </is>
      </c>
      <c r="D265" t="inlineStr">
        <is>
          <t>Keeta</t>
        </is>
      </c>
      <c r="E265" s="6" t="n"/>
    </row>
    <row r="266">
      <c r="A266" t="inlineStr">
        <is>
          <t>Imperdíveis Pizzas salgadas</t>
        </is>
      </c>
      <c r="B266" t="inlineStr">
        <is>
          <t>Pizza Calacatu</t>
        </is>
      </c>
      <c r="C266" t="inlineStr">
        <is>
          <t>Brotinho</t>
        </is>
      </c>
      <c r="D266" t="inlineStr">
        <is>
          <t>iFood</t>
        </is>
      </c>
      <c r="E266" s="6" t="n">
        <v>65.90000000000001</v>
      </c>
    </row>
    <row r="267">
      <c r="A267" t="inlineStr">
        <is>
          <t>Imperdíveis Pizzas salgadas</t>
        </is>
      </c>
      <c r="B267" t="inlineStr">
        <is>
          <t>Pizza Calacatu</t>
        </is>
      </c>
      <c r="C267" t="inlineStr">
        <is>
          <t>Brotinho</t>
        </is>
      </c>
      <c r="D267" t="inlineStr">
        <is>
          <t>Loja (Retirada)</t>
        </is>
      </c>
      <c r="E267" s="6" t="n"/>
    </row>
    <row r="268">
      <c r="A268" t="inlineStr">
        <is>
          <t>Imperdíveis Pizzas salgadas</t>
        </is>
      </c>
      <c r="B268" t="inlineStr">
        <is>
          <t>Pizza Calacatu</t>
        </is>
      </c>
      <c r="C268" t="inlineStr">
        <is>
          <t>Brotinho</t>
        </is>
      </c>
      <c r="D268" t="inlineStr">
        <is>
          <t>Keeta</t>
        </is>
      </c>
      <c r="E268" s="6" t="n"/>
    </row>
    <row r="269">
      <c r="A269" t="inlineStr">
        <is>
          <t>Imperdíveis Pizzas salgadas</t>
        </is>
      </c>
      <c r="B269" t="inlineStr">
        <is>
          <t>Pizza Calacatu</t>
        </is>
      </c>
      <c r="C269" t="inlineStr">
        <is>
          <t>Grande</t>
        </is>
      </c>
      <c r="D269" t="inlineStr">
        <is>
          <t>iFood</t>
        </is>
      </c>
      <c r="E269" s="6" t="n"/>
    </row>
    <row r="270">
      <c r="A270" t="inlineStr">
        <is>
          <t>Imperdíveis Pizzas salgadas</t>
        </is>
      </c>
      <c r="B270" t="inlineStr">
        <is>
          <t>Pizza Calacatu</t>
        </is>
      </c>
      <c r="C270" t="inlineStr">
        <is>
          <t>Grande</t>
        </is>
      </c>
      <c r="D270" t="inlineStr">
        <is>
          <t>Loja (Retirada)</t>
        </is>
      </c>
      <c r="E270" s="6" t="n"/>
    </row>
    <row r="271">
      <c r="A271" t="inlineStr">
        <is>
          <t>Imperdíveis Pizzas salgadas</t>
        </is>
      </c>
      <c r="B271" t="inlineStr">
        <is>
          <t>Pizza Calacatu</t>
        </is>
      </c>
      <c r="C271" t="inlineStr">
        <is>
          <t>Grande</t>
        </is>
      </c>
      <c r="D271" t="inlineStr">
        <is>
          <t>Keeta</t>
        </is>
      </c>
      <c r="E271" s="6" t="n"/>
    </row>
    <row r="272">
      <c r="A272" t="inlineStr">
        <is>
          <t>Imperdíveis Pizzas salgadas</t>
        </is>
      </c>
      <c r="B272" t="inlineStr">
        <is>
          <t>Pizza Calabresa</t>
        </is>
      </c>
      <c r="C272" t="inlineStr">
        <is>
          <t>Brotinho</t>
        </is>
      </c>
      <c r="D272" t="inlineStr">
        <is>
          <t>iFood</t>
        </is>
      </c>
      <c r="E272" s="6" t="n">
        <v>58.9</v>
      </c>
    </row>
    <row r="273">
      <c r="A273" t="inlineStr">
        <is>
          <t>Imperdíveis Pizzas salgadas</t>
        </is>
      </c>
      <c r="B273" t="inlineStr">
        <is>
          <t>Pizza Calabresa</t>
        </is>
      </c>
      <c r="C273" t="inlineStr">
        <is>
          <t>Brotinho</t>
        </is>
      </c>
      <c r="D273" t="inlineStr">
        <is>
          <t>Loja (Retirada)</t>
        </is>
      </c>
      <c r="E273" s="6" t="n"/>
    </row>
    <row r="274">
      <c r="A274" t="inlineStr">
        <is>
          <t>Imperdíveis Pizzas salgadas</t>
        </is>
      </c>
      <c r="B274" t="inlineStr">
        <is>
          <t>Pizza Calabresa</t>
        </is>
      </c>
      <c r="C274" t="inlineStr">
        <is>
          <t>Brotinho</t>
        </is>
      </c>
      <c r="D274" t="inlineStr">
        <is>
          <t>Keeta</t>
        </is>
      </c>
      <c r="E274" s="6" t="n"/>
    </row>
    <row r="275">
      <c r="A275" t="inlineStr">
        <is>
          <t>Imperdíveis Pizzas salgadas</t>
        </is>
      </c>
      <c r="B275" t="inlineStr">
        <is>
          <t>Pizza Calabresa</t>
        </is>
      </c>
      <c r="C275" t="inlineStr">
        <is>
          <t>Grande</t>
        </is>
      </c>
      <c r="D275" t="inlineStr">
        <is>
          <t>iFood</t>
        </is>
      </c>
      <c r="E275" s="6" t="n"/>
    </row>
    <row r="276">
      <c r="A276" t="inlineStr">
        <is>
          <t>Imperdíveis Pizzas salgadas</t>
        </is>
      </c>
      <c r="B276" t="inlineStr">
        <is>
          <t>Pizza Calabresa</t>
        </is>
      </c>
      <c r="C276" t="inlineStr">
        <is>
          <t>Grande</t>
        </is>
      </c>
      <c r="D276" t="inlineStr">
        <is>
          <t>Loja (Retirada)</t>
        </is>
      </c>
      <c r="E276" s="6" t="n"/>
    </row>
    <row r="277">
      <c r="A277" t="inlineStr">
        <is>
          <t>Imperdíveis Pizzas salgadas</t>
        </is>
      </c>
      <c r="B277" t="inlineStr">
        <is>
          <t>Pizza Calabresa</t>
        </is>
      </c>
      <c r="C277" t="inlineStr">
        <is>
          <t>Grande</t>
        </is>
      </c>
      <c r="D277" t="inlineStr">
        <is>
          <t>Keeta</t>
        </is>
      </c>
      <c r="E277" s="6" t="n"/>
    </row>
    <row r="278">
      <c r="A278" t="inlineStr">
        <is>
          <t>Imperdíveis Pizzas salgadas</t>
        </is>
      </c>
      <c r="B278" t="inlineStr">
        <is>
          <t>Pizza Caipira</t>
        </is>
      </c>
      <c r="C278" t="inlineStr">
        <is>
          <t>Brotinho</t>
        </is>
      </c>
      <c r="D278" t="inlineStr">
        <is>
          <t>iFood</t>
        </is>
      </c>
      <c r="E278" s="6" t="n">
        <v>65.90000000000001</v>
      </c>
    </row>
    <row r="279">
      <c r="A279" t="inlineStr">
        <is>
          <t>Imperdíveis Pizzas salgadas</t>
        </is>
      </c>
      <c r="B279" t="inlineStr">
        <is>
          <t>Pizza Caipira</t>
        </is>
      </c>
      <c r="C279" t="inlineStr">
        <is>
          <t>Brotinho</t>
        </is>
      </c>
      <c r="D279" t="inlineStr">
        <is>
          <t>Loja (Retirada)</t>
        </is>
      </c>
      <c r="E279" s="6" t="n"/>
    </row>
    <row r="280">
      <c r="A280" t="inlineStr">
        <is>
          <t>Imperdíveis Pizzas salgadas</t>
        </is>
      </c>
      <c r="B280" t="inlineStr">
        <is>
          <t>Pizza Caipira</t>
        </is>
      </c>
      <c r="C280" t="inlineStr">
        <is>
          <t>Brotinho</t>
        </is>
      </c>
      <c r="D280" t="inlineStr">
        <is>
          <t>Keeta</t>
        </is>
      </c>
      <c r="E280" s="6" t="n"/>
    </row>
    <row r="281">
      <c r="A281" t="inlineStr">
        <is>
          <t>Imperdíveis Pizzas salgadas</t>
        </is>
      </c>
      <c r="B281" t="inlineStr">
        <is>
          <t>Pizza Caipira</t>
        </is>
      </c>
      <c r="C281" t="inlineStr">
        <is>
          <t>Grande</t>
        </is>
      </c>
      <c r="D281" t="inlineStr">
        <is>
          <t>iFood</t>
        </is>
      </c>
      <c r="E281" s="6" t="n"/>
    </row>
    <row r="282">
      <c r="A282" t="inlineStr">
        <is>
          <t>Imperdíveis Pizzas salgadas</t>
        </is>
      </c>
      <c r="B282" t="inlineStr">
        <is>
          <t>Pizza Caipira</t>
        </is>
      </c>
      <c r="C282" t="inlineStr">
        <is>
          <t>Grande</t>
        </is>
      </c>
      <c r="D282" t="inlineStr">
        <is>
          <t>Loja (Retirada)</t>
        </is>
      </c>
      <c r="E282" s="6" t="n"/>
    </row>
    <row r="283">
      <c r="A283" t="inlineStr">
        <is>
          <t>Imperdíveis Pizzas salgadas</t>
        </is>
      </c>
      <c r="B283" t="inlineStr">
        <is>
          <t>Pizza Caipira</t>
        </is>
      </c>
      <c r="C283" t="inlineStr">
        <is>
          <t>Grande</t>
        </is>
      </c>
      <c r="D283" t="inlineStr">
        <is>
          <t>Keeta</t>
        </is>
      </c>
      <c r="E283" s="6" t="n"/>
    </row>
    <row r="284">
      <c r="A284" t="inlineStr">
        <is>
          <t>Imperdíveis Pizzas salgadas</t>
        </is>
      </c>
      <c r="B284" t="inlineStr">
        <is>
          <t>Pizza Búfala</t>
        </is>
      </c>
      <c r="C284" t="inlineStr">
        <is>
          <t>Brotinho</t>
        </is>
      </c>
      <c r="D284" t="inlineStr">
        <is>
          <t>iFood</t>
        </is>
      </c>
      <c r="E284" s="6" t="n">
        <v>62.9</v>
      </c>
    </row>
    <row r="285">
      <c r="A285" t="inlineStr">
        <is>
          <t>Imperdíveis Pizzas salgadas</t>
        </is>
      </c>
      <c r="B285" t="inlineStr">
        <is>
          <t>Pizza Búfala</t>
        </is>
      </c>
      <c r="C285" t="inlineStr">
        <is>
          <t>Brotinho</t>
        </is>
      </c>
      <c r="D285" t="inlineStr">
        <is>
          <t>Loja (Retirada)</t>
        </is>
      </c>
      <c r="E285" s="6" t="n"/>
    </row>
    <row r="286">
      <c r="A286" t="inlineStr">
        <is>
          <t>Imperdíveis Pizzas salgadas</t>
        </is>
      </c>
      <c r="B286" t="inlineStr">
        <is>
          <t>Pizza Búfala</t>
        </is>
      </c>
      <c r="C286" t="inlineStr">
        <is>
          <t>Brotinho</t>
        </is>
      </c>
      <c r="D286" t="inlineStr">
        <is>
          <t>Keeta</t>
        </is>
      </c>
      <c r="E286" s="6" t="n"/>
    </row>
    <row r="287">
      <c r="A287" t="inlineStr">
        <is>
          <t>Imperdíveis Pizzas salgadas</t>
        </is>
      </c>
      <c r="B287" t="inlineStr">
        <is>
          <t>Pizza Búfala</t>
        </is>
      </c>
      <c r="C287" t="inlineStr">
        <is>
          <t>Grande</t>
        </is>
      </c>
      <c r="D287" t="inlineStr">
        <is>
          <t>iFood</t>
        </is>
      </c>
      <c r="E287" s="6" t="n"/>
    </row>
    <row r="288">
      <c r="A288" t="inlineStr">
        <is>
          <t>Imperdíveis Pizzas salgadas</t>
        </is>
      </c>
      <c r="B288" t="inlineStr">
        <is>
          <t>Pizza Búfala</t>
        </is>
      </c>
      <c r="C288" t="inlineStr">
        <is>
          <t>Grande</t>
        </is>
      </c>
      <c r="D288" t="inlineStr">
        <is>
          <t>Loja (Retirada)</t>
        </is>
      </c>
      <c r="E288" s="6" t="n"/>
    </row>
    <row r="289">
      <c r="A289" t="inlineStr">
        <is>
          <t>Imperdíveis Pizzas salgadas</t>
        </is>
      </c>
      <c r="B289" t="inlineStr">
        <is>
          <t>Pizza Búfala</t>
        </is>
      </c>
      <c r="C289" t="inlineStr">
        <is>
          <t>Grande</t>
        </is>
      </c>
      <c r="D289" t="inlineStr">
        <is>
          <t>Keeta</t>
        </is>
      </c>
      <c r="E289" s="6" t="n"/>
    </row>
    <row r="290">
      <c r="A290" t="inlineStr">
        <is>
          <t>Imperdíveis Pizzas salgadas</t>
        </is>
      </c>
      <c r="B290" t="inlineStr">
        <is>
          <t>Pizza Brócolis 3</t>
        </is>
      </c>
      <c r="C290" t="inlineStr">
        <is>
          <t>Brotinho</t>
        </is>
      </c>
      <c r="D290" t="inlineStr">
        <is>
          <t>iFood</t>
        </is>
      </c>
      <c r="E290" s="6" t="n">
        <v>65.90000000000001</v>
      </c>
    </row>
    <row r="291">
      <c r="A291" t="inlineStr">
        <is>
          <t>Imperdíveis Pizzas salgadas</t>
        </is>
      </c>
      <c r="B291" t="inlineStr">
        <is>
          <t>Pizza Brócolis 3</t>
        </is>
      </c>
      <c r="C291" t="inlineStr">
        <is>
          <t>Brotinho</t>
        </is>
      </c>
      <c r="D291" t="inlineStr">
        <is>
          <t>Loja (Retirada)</t>
        </is>
      </c>
      <c r="E291" s="6" t="n"/>
    </row>
    <row r="292">
      <c r="A292" t="inlineStr">
        <is>
          <t>Imperdíveis Pizzas salgadas</t>
        </is>
      </c>
      <c r="B292" t="inlineStr">
        <is>
          <t>Pizza Brócolis 3</t>
        </is>
      </c>
      <c r="C292" t="inlineStr">
        <is>
          <t>Brotinho</t>
        </is>
      </c>
      <c r="D292" t="inlineStr">
        <is>
          <t>Keeta</t>
        </is>
      </c>
      <c r="E292" s="6" t="n"/>
    </row>
    <row r="293">
      <c r="A293" t="inlineStr">
        <is>
          <t>Imperdíveis Pizzas salgadas</t>
        </is>
      </c>
      <c r="B293" t="inlineStr">
        <is>
          <t>Pizza Brócolis 3</t>
        </is>
      </c>
      <c r="C293" t="inlineStr">
        <is>
          <t>Grande</t>
        </is>
      </c>
      <c r="D293" t="inlineStr">
        <is>
          <t>iFood</t>
        </is>
      </c>
      <c r="E293" s="6" t="n"/>
    </row>
    <row r="294">
      <c r="A294" t="inlineStr">
        <is>
          <t>Imperdíveis Pizzas salgadas</t>
        </is>
      </c>
      <c r="B294" t="inlineStr">
        <is>
          <t>Pizza Brócolis 3</t>
        </is>
      </c>
      <c r="C294" t="inlineStr">
        <is>
          <t>Grande</t>
        </is>
      </c>
      <c r="D294" t="inlineStr">
        <is>
          <t>Loja (Retirada)</t>
        </is>
      </c>
      <c r="E294" s="6" t="n"/>
    </row>
    <row r="295">
      <c r="A295" t="inlineStr">
        <is>
          <t>Imperdíveis Pizzas salgadas</t>
        </is>
      </c>
      <c r="B295" t="inlineStr">
        <is>
          <t>Pizza Brócolis 3</t>
        </is>
      </c>
      <c r="C295" t="inlineStr">
        <is>
          <t>Grande</t>
        </is>
      </c>
      <c r="D295" t="inlineStr">
        <is>
          <t>Keeta</t>
        </is>
      </c>
      <c r="E295" s="6" t="n"/>
    </row>
    <row r="296">
      <c r="A296" t="inlineStr">
        <is>
          <t>Imperdíveis Pizzas salgadas</t>
        </is>
      </c>
      <c r="B296" t="inlineStr">
        <is>
          <t>Pizza Brócolis 2</t>
        </is>
      </c>
      <c r="C296" t="inlineStr">
        <is>
          <t>Brotinho</t>
        </is>
      </c>
      <c r="D296" t="inlineStr">
        <is>
          <t>iFood</t>
        </is>
      </c>
      <c r="E296" s="6" t="n">
        <v>65.90000000000001</v>
      </c>
    </row>
    <row r="297">
      <c r="A297" t="inlineStr">
        <is>
          <t>Imperdíveis Pizzas salgadas</t>
        </is>
      </c>
      <c r="B297" t="inlineStr">
        <is>
          <t>Pizza Brócolis 2</t>
        </is>
      </c>
      <c r="C297" t="inlineStr">
        <is>
          <t>Brotinho</t>
        </is>
      </c>
      <c r="D297" t="inlineStr">
        <is>
          <t>Loja (Retirada)</t>
        </is>
      </c>
      <c r="E297" s="6" t="n"/>
    </row>
    <row r="298">
      <c r="A298" t="inlineStr">
        <is>
          <t>Imperdíveis Pizzas salgadas</t>
        </is>
      </c>
      <c r="B298" t="inlineStr">
        <is>
          <t>Pizza Brócolis 2</t>
        </is>
      </c>
      <c r="C298" t="inlineStr">
        <is>
          <t>Brotinho</t>
        </is>
      </c>
      <c r="D298" t="inlineStr">
        <is>
          <t>Keeta</t>
        </is>
      </c>
      <c r="E298" s="6" t="n"/>
    </row>
    <row r="299">
      <c r="A299" t="inlineStr">
        <is>
          <t>Imperdíveis Pizzas salgadas</t>
        </is>
      </c>
      <c r="B299" t="inlineStr">
        <is>
          <t>Pizza Brócolis 2</t>
        </is>
      </c>
      <c r="C299" t="inlineStr">
        <is>
          <t>Grande</t>
        </is>
      </c>
      <c r="D299" t="inlineStr">
        <is>
          <t>iFood</t>
        </is>
      </c>
      <c r="E299" s="6" t="n"/>
    </row>
    <row r="300">
      <c r="A300" t="inlineStr">
        <is>
          <t>Imperdíveis Pizzas salgadas</t>
        </is>
      </c>
      <c r="B300" t="inlineStr">
        <is>
          <t>Pizza Brócolis 2</t>
        </is>
      </c>
      <c r="C300" t="inlineStr">
        <is>
          <t>Grande</t>
        </is>
      </c>
      <c r="D300" t="inlineStr">
        <is>
          <t>Loja (Retirada)</t>
        </is>
      </c>
      <c r="E300" s="6" t="n"/>
    </row>
    <row r="301">
      <c r="A301" t="inlineStr">
        <is>
          <t>Imperdíveis Pizzas salgadas</t>
        </is>
      </c>
      <c r="B301" t="inlineStr">
        <is>
          <t>Pizza Brócolis 2</t>
        </is>
      </c>
      <c r="C301" t="inlineStr">
        <is>
          <t>Grande</t>
        </is>
      </c>
      <c r="D301" t="inlineStr">
        <is>
          <t>Keeta</t>
        </is>
      </c>
      <c r="E301" s="6" t="n"/>
    </row>
    <row r="302">
      <c r="A302" t="inlineStr">
        <is>
          <t>Imperdíveis Pizzas salgadas</t>
        </is>
      </c>
      <c r="B302" t="inlineStr">
        <is>
          <t>Pizza Brócolis</t>
        </is>
      </c>
      <c r="C302" t="inlineStr">
        <is>
          <t>Brotinho</t>
        </is>
      </c>
      <c r="D302" t="inlineStr">
        <is>
          <t>iFood</t>
        </is>
      </c>
      <c r="E302" s="6" t="n">
        <v>58.9</v>
      </c>
    </row>
    <row r="303">
      <c r="A303" t="inlineStr">
        <is>
          <t>Imperdíveis Pizzas salgadas</t>
        </is>
      </c>
      <c r="B303" t="inlineStr">
        <is>
          <t>Pizza Brócolis</t>
        </is>
      </c>
      <c r="C303" t="inlineStr">
        <is>
          <t>Brotinho</t>
        </is>
      </c>
      <c r="D303" t="inlineStr">
        <is>
          <t>Loja (Retirada)</t>
        </is>
      </c>
      <c r="E303" s="6" t="n"/>
    </row>
    <row r="304">
      <c r="A304" t="inlineStr">
        <is>
          <t>Imperdíveis Pizzas salgadas</t>
        </is>
      </c>
      <c r="B304" t="inlineStr">
        <is>
          <t>Pizza Brócolis</t>
        </is>
      </c>
      <c r="C304" t="inlineStr">
        <is>
          <t>Brotinho</t>
        </is>
      </c>
      <c r="D304" t="inlineStr">
        <is>
          <t>Keeta</t>
        </is>
      </c>
      <c r="E304" s="6" t="n"/>
    </row>
    <row r="305">
      <c r="A305" t="inlineStr">
        <is>
          <t>Imperdíveis Pizzas salgadas</t>
        </is>
      </c>
      <c r="B305" t="inlineStr">
        <is>
          <t>Pizza Brócolis</t>
        </is>
      </c>
      <c r="C305" t="inlineStr">
        <is>
          <t>Grande</t>
        </is>
      </c>
      <c r="D305" t="inlineStr">
        <is>
          <t>iFood</t>
        </is>
      </c>
      <c r="E305" s="6" t="n"/>
    </row>
    <row r="306">
      <c r="A306" t="inlineStr">
        <is>
          <t>Imperdíveis Pizzas salgadas</t>
        </is>
      </c>
      <c r="B306" t="inlineStr">
        <is>
          <t>Pizza Brócolis</t>
        </is>
      </c>
      <c r="C306" t="inlineStr">
        <is>
          <t>Grande</t>
        </is>
      </c>
      <c r="D306" t="inlineStr">
        <is>
          <t>Loja (Retirada)</t>
        </is>
      </c>
      <c r="E306" s="6" t="n"/>
    </row>
    <row r="307">
      <c r="A307" t="inlineStr">
        <is>
          <t>Imperdíveis Pizzas salgadas</t>
        </is>
      </c>
      <c r="B307" t="inlineStr">
        <is>
          <t>Pizza Brócolis</t>
        </is>
      </c>
      <c r="C307" t="inlineStr">
        <is>
          <t>Grande</t>
        </is>
      </c>
      <c r="D307" t="inlineStr">
        <is>
          <t>Keeta</t>
        </is>
      </c>
      <c r="E307" s="6" t="n"/>
    </row>
    <row r="308">
      <c r="A308" t="inlineStr">
        <is>
          <t>Imperdíveis Pizzas salgadas</t>
        </is>
      </c>
      <c r="B308" t="inlineStr">
        <is>
          <t>Pizza Berinjela</t>
        </is>
      </c>
      <c r="C308" t="inlineStr">
        <is>
          <t>Brotinho</t>
        </is>
      </c>
      <c r="D308" t="inlineStr">
        <is>
          <t>iFood</t>
        </is>
      </c>
      <c r="E308" s="6" t="n">
        <v>58.9</v>
      </c>
    </row>
    <row r="309">
      <c r="A309" t="inlineStr">
        <is>
          <t>Imperdíveis Pizzas salgadas</t>
        </is>
      </c>
      <c r="B309" t="inlineStr">
        <is>
          <t>Pizza Berinjela</t>
        </is>
      </c>
      <c r="C309" t="inlineStr">
        <is>
          <t>Brotinho</t>
        </is>
      </c>
      <c r="D309" t="inlineStr">
        <is>
          <t>Loja (Retirada)</t>
        </is>
      </c>
      <c r="E309" s="6" t="n"/>
    </row>
    <row r="310">
      <c r="A310" t="inlineStr">
        <is>
          <t>Imperdíveis Pizzas salgadas</t>
        </is>
      </c>
      <c r="B310" t="inlineStr">
        <is>
          <t>Pizza Berinjela</t>
        </is>
      </c>
      <c r="C310" t="inlineStr">
        <is>
          <t>Brotinho</t>
        </is>
      </c>
      <c r="D310" t="inlineStr">
        <is>
          <t>Keeta</t>
        </is>
      </c>
      <c r="E310" s="6" t="n"/>
    </row>
    <row r="311">
      <c r="A311" t="inlineStr">
        <is>
          <t>Imperdíveis Pizzas salgadas</t>
        </is>
      </c>
      <c r="B311" t="inlineStr">
        <is>
          <t>Pizza Berinjela</t>
        </is>
      </c>
      <c r="C311" t="inlineStr">
        <is>
          <t>Grande</t>
        </is>
      </c>
      <c r="D311" t="inlineStr">
        <is>
          <t>iFood</t>
        </is>
      </c>
      <c r="E311" s="6" t="n"/>
    </row>
    <row r="312">
      <c r="A312" t="inlineStr">
        <is>
          <t>Imperdíveis Pizzas salgadas</t>
        </is>
      </c>
      <c r="B312" t="inlineStr">
        <is>
          <t>Pizza Berinjela</t>
        </is>
      </c>
      <c r="C312" t="inlineStr">
        <is>
          <t>Grande</t>
        </is>
      </c>
      <c r="D312" t="inlineStr">
        <is>
          <t>Loja (Retirada)</t>
        </is>
      </c>
      <c r="E312" s="6" t="n"/>
    </row>
    <row r="313">
      <c r="A313" t="inlineStr">
        <is>
          <t>Imperdíveis Pizzas salgadas</t>
        </is>
      </c>
      <c r="B313" t="inlineStr">
        <is>
          <t>Pizza Berinjela</t>
        </is>
      </c>
      <c r="C313" t="inlineStr">
        <is>
          <t>Grande</t>
        </is>
      </c>
      <c r="D313" t="inlineStr">
        <is>
          <t>Keeta</t>
        </is>
      </c>
      <c r="E313" s="6" t="n"/>
    </row>
    <row r="314">
      <c r="A314" t="inlineStr">
        <is>
          <t>Imperdíveis Pizzas salgadas</t>
        </is>
      </c>
      <c r="B314" t="inlineStr">
        <is>
          <t>Pizza Baiana</t>
        </is>
      </c>
      <c r="C314" t="inlineStr">
        <is>
          <t>Brotinho</t>
        </is>
      </c>
      <c r="D314" t="inlineStr">
        <is>
          <t>iFood</t>
        </is>
      </c>
      <c r="E314" s="6" t="n">
        <v>58.9</v>
      </c>
    </row>
    <row r="315">
      <c r="A315" t="inlineStr">
        <is>
          <t>Imperdíveis Pizzas salgadas</t>
        </is>
      </c>
      <c r="B315" t="inlineStr">
        <is>
          <t>Pizza Baiana</t>
        </is>
      </c>
      <c r="C315" t="inlineStr">
        <is>
          <t>Brotinho</t>
        </is>
      </c>
      <c r="D315" t="inlineStr">
        <is>
          <t>Loja (Retirada)</t>
        </is>
      </c>
      <c r="E315" s="6" t="n"/>
    </row>
    <row r="316">
      <c r="A316" t="inlineStr">
        <is>
          <t>Imperdíveis Pizzas salgadas</t>
        </is>
      </c>
      <c r="B316" t="inlineStr">
        <is>
          <t>Pizza Baiana</t>
        </is>
      </c>
      <c r="C316" t="inlineStr">
        <is>
          <t>Brotinho</t>
        </is>
      </c>
      <c r="D316" t="inlineStr">
        <is>
          <t>Keeta</t>
        </is>
      </c>
      <c r="E316" s="6" t="n"/>
    </row>
    <row r="317">
      <c r="A317" t="inlineStr">
        <is>
          <t>Imperdíveis Pizzas salgadas</t>
        </is>
      </c>
      <c r="B317" t="inlineStr">
        <is>
          <t>Pizza Baiana</t>
        </is>
      </c>
      <c r="C317" t="inlineStr">
        <is>
          <t>Grande</t>
        </is>
      </c>
      <c r="D317" t="inlineStr">
        <is>
          <t>iFood</t>
        </is>
      </c>
      <c r="E317" s="6" t="n"/>
    </row>
    <row r="318">
      <c r="A318" t="inlineStr">
        <is>
          <t>Imperdíveis Pizzas salgadas</t>
        </is>
      </c>
      <c r="B318" t="inlineStr">
        <is>
          <t>Pizza Baiana</t>
        </is>
      </c>
      <c r="C318" t="inlineStr">
        <is>
          <t>Grande</t>
        </is>
      </c>
      <c r="D318" t="inlineStr">
        <is>
          <t>Loja (Retirada)</t>
        </is>
      </c>
      <c r="E318" s="6" t="n"/>
    </row>
    <row r="319">
      <c r="A319" t="inlineStr">
        <is>
          <t>Imperdíveis Pizzas salgadas</t>
        </is>
      </c>
      <c r="B319" t="inlineStr">
        <is>
          <t>Pizza Baiana</t>
        </is>
      </c>
      <c r="C319" t="inlineStr">
        <is>
          <t>Grande</t>
        </is>
      </c>
      <c r="D319" t="inlineStr">
        <is>
          <t>Keeta</t>
        </is>
      </c>
      <c r="E319" s="6" t="n"/>
    </row>
    <row r="320">
      <c r="A320" t="inlineStr">
        <is>
          <t>Imperdíveis Pizzas salgadas</t>
        </is>
      </c>
      <c r="B320" t="inlineStr">
        <is>
          <t>Pizza Bacon</t>
        </is>
      </c>
      <c r="C320" t="inlineStr">
        <is>
          <t>Brotinho</t>
        </is>
      </c>
      <c r="D320" t="inlineStr">
        <is>
          <t>iFood</t>
        </is>
      </c>
      <c r="E320" s="6" t="n">
        <v>59.9</v>
      </c>
    </row>
    <row r="321">
      <c r="A321" t="inlineStr">
        <is>
          <t>Imperdíveis Pizzas salgadas</t>
        </is>
      </c>
      <c r="B321" t="inlineStr">
        <is>
          <t>Pizza Bacon</t>
        </is>
      </c>
      <c r="C321" t="inlineStr">
        <is>
          <t>Brotinho</t>
        </is>
      </c>
      <c r="D321" t="inlineStr">
        <is>
          <t>Loja (Retirada)</t>
        </is>
      </c>
      <c r="E321" s="6" t="n"/>
    </row>
    <row r="322">
      <c r="A322" t="inlineStr">
        <is>
          <t>Imperdíveis Pizzas salgadas</t>
        </is>
      </c>
      <c r="B322" t="inlineStr">
        <is>
          <t>Pizza Bacon</t>
        </is>
      </c>
      <c r="C322" t="inlineStr">
        <is>
          <t>Brotinho</t>
        </is>
      </c>
      <c r="D322" t="inlineStr">
        <is>
          <t>Keeta</t>
        </is>
      </c>
      <c r="E322" s="6" t="n"/>
    </row>
    <row r="323">
      <c r="A323" t="inlineStr">
        <is>
          <t>Imperdíveis Pizzas salgadas</t>
        </is>
      </c>
      <c r="B323" t="inlineStr">
        <is>
          <t>Pizza Bacon</t>
        </is>
      </c>
      <c r="C323" t="inlineStr">
        <is>
          <t>Grande</t>
        </is>
      </c>
      <c r="D323" t="inlineStr">
        <is>
          <t>iFood</t>
        </is>
      </c>
      <c r="E323" s="6" t="n"/>
    </row>
    <row r="324">
      <c r="A324" t="inlineStr">
        <is>
          <t>Imperdíveis Pizzas salgadas</t>
        </is>
      </c>
      <c r="B324" t="inlineStr">
        <is>
          <t>Pizza Bacon</t>
        </is>
      </c>
      <c r="C324" t="inlineStr">
        <is>
          <t>Grande</t>
        </is>
      </c>
      <c r="D324" t="inlineStr">
        <is>
          <t>Loja (Retirada)</t>
        </is>
      </c>
      <c r="E324" s="6" t="n"/>
    </row>
    <row r="325">
      <c r="A325" t="inlineStr">
        <is>
          <t>Imperdíveis Pizzas salgadas</t>
        </is>
      </c>
      <c r="B325" t="inlineStr">
        <is>
          <t>Pizza Bacon</t>
        </is>
      </c>
      <c r="C325" t="inlineStr">
        <is>
          <t>Grande</t>
        </is>
      </c>
      <c r="D325" t="inlineStr">
        <is>
          <t>Keeta</t>
        </is>
      </c>
      <c r="E325" s="6" t="n"/>
    </row>
    <row r="326">
      <c r="A326" t="inlineStr">
        <is>
          <t>Imperdíveis Pizzas salgadas</t>
        </is>
      </c>
      <c r="B326" t="inlineStr">
        <is>
          <t>Atum Especial</t>
        </is>
      </c>
      <c r="C326" t="inlineStr">
        <is>
          <t>Brotinho</t>
        </is>
      </c>
      <c r="D326" t="inlineStr">
        <is>
          <t>iFood</t>
        </is>
      </c>
      <c r="E326" s="6" t="n">
        <v>76.90000000000001</v>
      </c>
    </row>
    <row r="327">
      <c r="A327" t="inlineStr">
        <is>
          <t>Imperdíveis Pizzas salgadas</t>
        </is>
      </c>
      <c r="B327" t="inlineStr">
        <is>
          <t>Atum Especial</t>
        </is>
      </c>
      <c r="C327" t="inlineStr">
        <is>
          <t>Brotinho</t>
        </is>
      </c>
      <c r="D327" t="inlineStr">
        <is>
          <t>Loja (Retirada)</t>
        </is>
      </c>
      <c r="E327" s="6" t="n"/>
    </row>
    <row r="328">
      <c r="A328" t="inlineStr">
        <is>
          <t>Imperdíveis Pizzas salgadas</t>
        </is>
      </c>
      <c r="B328" t="inlineStr">
        <is>
          <t>Atum Especial</t>
        </is>
      </c>
      <c r="C328" t="inlineStr">
        <is>
          <t>Brotinho</t>
        </is>
      </c>
      <c r="D328" t="inlineStr">
        <is>
          <t>Keeta</t>
        </is>
      </c>
      <c r="E328" s="6" t="n"/>
    </row>
    <row r="329">
      <c r="A329" t="inlineStr">
        <is>
          <t>Imperdíveis Pizzas salgadas</t>
        </is>
      </c>
      <c r="B329" t="inlineStr">
        <is>
          <t>Atum Especial</t>
        </is>
      </c>
      <c r="C329" t="inlineStr">
        <is>
          <t>Grande</t>
        </is>
      </c>
      <c r="D329" t="inlineStr">
        <is>
          <t>iFood</t>
        </is>
      </c>
      <c r="E329" s="6" t="n"/>
    </row>
    <row r="330">
      <c r="A330" t="inlineStr">
        <is>
          <t>Imperdíveis Pizzas salgadas</t>
        </is>
      </c>
      <c r="B330" t="inlineStr">
        <is>
          <t>Atum Especial</t>
        </is>
      </c>
      <c r="C330" t="inlineStr">
        <is>
          <t>Grande</t>
        </is>
      </c>
      <c r="D330" t="inlineStr">
        <is>
          <t>Loja (Retirada)</t>
        </is>
      </c>
      <c r="E330" s="6" t="n"/>
    </row>
    <row r="331">
      <c r="A331" t="inlineStr">
        <is>
          <t>Imperdíveis Pizzas salgadas</t>
        </is>
      </c>
      <c r="B331" t="inlineStr">
        <is>
          <t>Atum Especial</t>
        </is>
      </c>
      <c r="C331" t="inlineStr">
        <is>
          <t>Grande</t>
        </is>
      </c>
      <c r="D331" t="inlineStr">
        <is>
          <t>Keeta</t>
        </is>
      </c>
      <c r="E331" s="6" t="n"/>
    </row>
    <row r="332">
      <c r="A332" t="inlineStr">
        <is>
          <t>Imperdíveis Pizzas salgadas</t>
        </is>
      </c>
      <c r="B332" t="inlineStr">
        <is>
          <t>Pizza Artes Da Pizza</t>
        </is>
      </c>
      <c r="C332" t="inlineStr">
        <is>
          <t>Brotinho</t>
        </is>
      </c>
      <c r="D332" t="inlineStr">
        <is>
          <t>iFood</t>
        </is>
      </c>
      <c r="E332" s="6" t="n">
        <v>64.90000000000001</v>
      </c>
    </row>
    <row r="333">
      <c r="A333" t="inlineStr">
        <is>
          <t>Imperdíveis Pizzas salgadas</t>
        </is>
      </c>
      <c r="B333" t="inlineStr">
        <is>
          <t>Pizza Artes Da Pizza</t>
        </is>
      </c>
      <c r="C333" t="inlineStr">
        <is>
          <t>Brotinho</t>
        </is>
      </c>
      <c r="D333" t="inlineStr">
        <is>
          <t>Loja (Retirada)</t>
        </is>
      </c>
      <c r="E333" s="6" t="n"/>
    </row>
    <row r="334">
      <c r="A334" t="inlineStr">
        <is>
          <t>Imperdíveis Pizzas salgadas</t>
        </is>
      </c>
      <c r="B334" t="inlineStr">
        <is>
          <t>Pizza Artes Da Pizza</t>
        </is>
      </c>
      <c r="C334" t="inlineStr">
        <is>
          <t>Brotinho</t>
        </is>
      </c>
      <c r="D334" t="inlineStr">
        <is>
          <t>Keeta</t>
        </is>
      </c>
      <c r="E334" s="6" t="n"/>
    </row>
    <row r="335">
      <c r="A335" t="inlineStr">
        <is>
          <t>Imperdíveis Pizzas salgadas</t>
        </is>
      </c>
      <c r="B335" t="inlineStr">
        <is>
          <t>Pizza Artes Da Pizza</t>
        </is>
      </c>
      <c r="C335" t="inlineStr">
        <is>
          <t>Grande</t>
        </is>
      </c>
      <c r="D335" t="inlineStr">
        <is>
          <t>iFood</t>
        </is>
      </c>
      <c r="E335" s="6" t="n"/>
    </row>
    <row r="336">
      <c r="A336" t="inlineStr">
        <is>
          <t>Imperdíveis Pizzas salgadas</t>
        </is>
      </c>
      <c r="B336" t="inlineStr">
        <is>
          <t>Pizza Artes Da Pizza</t>
        </is>
      </c>
      <c r="C336" t="inlineStr">
        <is>
          <t>Grande</t>
        </is>
      </c>
      <c r="D336" t="inlineStr">
        <is>
          <t>Loja (Retirada)</t>
        </is>
      </c>
      <c r="E336" s="6" t="n"/>
    </row>
    <row r="337">
      <c r="A337" t="inlineStr">
        <is>
          <t>Imperdíveis Pizzas salgadas</t>
        </is>
      </c>
      <c r="B337" t="inlineStr">
        <is>
          <t>Pizza Artes Da Pizza</t>
        </is>
      </c>
      <c r="C337" t="inlineStr">
        <is>
          <t>Grande</t>
        </is>
      </c>
      <c r="D337" t="inlineStr">
        <is>
          <t>Keeta</t>
        </is>
      </c>
      <c r="E337" s="6" t="n"/>
    </row>
    <row r="338">
      <c r="A338" t="inlineStr">
        <is>
          <t>Imperdíveis Pizzas salgadas</t>
        </is>
      </c>
      <c r="B338" t="inlineStr">
        <is>
          <t>Pizza Atum</t>
        </is>
      </c>
      <c r="C338" t="inlineStr">
        <is>
          <t>Brotinho</t>
        </is>
      </c>
      <c r="D338" t="inlineStr">
        <is>
          <t>iFood</t>
        </is>
      </c>
      <c r="E338" s="6" t="n">
        <v>52.9</v>
      </c>
    </row>
    <row r="339">
      <c r="A339" t="inlineStr">
        <is>
          <t>Imperdíveis Pizzas salgadas</t>
        </is>
      </c>
      <c r="B339" t="inlineStr">
        <is>
          <t>Pizza Atum</t>
        </is>
      </c>
      <c r="C339" t="inlineStr">
        <is>
          <t>Brotinho</t>
        </is>
      </c>
      <c r="D339" t="inlineStr">
        <is>
          <t>Loja (Retirada)</t>
        </is>
      </c>
      <c r="E339" s="6" t="n"/>
    </row>
    <row r="340">
      <c r="A340" t="inlineStr">
        <is>
          <t>Imperdíveis Pizzas salgadas</t>
        </is>
      </c>
      <c r="B340" t="inlineStr">
        <is>
          <t>Pizza Atum</t>
        </is>
      </c>
      <c r="C340" t="inlineStr">
        <is>
          <t>Brotinho</t>
        </is>
      </c>
      <c r="D340" t="inlineStr">
        <is>
          <t>Keeta</t>
        </is>
      </c>
      <c r="E340" s="6" t="n"/>
    </row>
    <row r="341">
      <c r="A341" t="inlineStr">
        <is>
          <t>Imperdíveis Pizzas salgadas</t>
        </is>
      </c>
      <c r="B341" t="inlineStr">
        <is>
          <t>Pizza Atum</t>
        </is>
      </c>
      <c r="C341" t="inlineStr">
        <is>
          <t>Grande</t>
        </is>
      </c>
      <c r="D341" t="inlineStr">
        <is>
          <t>iFood</t>
        </is>
      </c>
      <c r="E341" s="6" t="n"/>
    </row>
    <row r="342">
      <c r="A342" t="inlineStr">
        <is>
          <t>Imperdíveis Pizzas salgadas</t>
        </is>
      </c>
      <c r="B342" t="inlineStr">
        <is>
          <t>Pizza Atum</t>
        </is>
      </c>
      <c r="C342" t="inlineStr">
        <is>
          <t>Grande</t>
        </is>
      </c>
      <c r="D342" t="inlineStr">
        <is>
          <t>Loja (Retirada)</t>
        </is>
      </c>
      <c r="E342" s="6" t="n"/>
    </row>
    <row r="343">
      <c r="A343" t="inlineStr">
        <is>
          <t>Imperdíveis Pizzas salgadas</t>
        </is>
      </c>
      <c r="B343" t="inlineStr">
        <is>
          <t>Pizza Atum</t>
        </is>
      </c>
      <c r="C343" t="inlineStr">
        <is>
          <t>Grande</t>
        </is>
      </c>
      <c r="D343" t="inlineStr">
        <is>
          <t>Keeta</t>
        </is>
      </c>
      <c r="E343" s="6" t="n"/>
    </row>
    <row r="344">
      <c r="A344" t="inlineStr">
        <is>
          <t>Imperdíveis Pizzas salgadas</t>
        </is>
      </c>
      <c r="B344" t="inlineStr">
        <is>
          <t>Pizza Americana</t>
        </is>
      </c>
      <c r="C344" t="inlineStr">
        <is>
          <t>Brotinho</t>
        </is>
      </c>
      <c r="D344" t="inlineStr">
        <is>
          <t>iFood</t>
        </is>
      </c>
      <c r="E344" s="6" t="n">
        <v>64.90000000000001</v>
      </c>
    </row>
    <row r="345">
      <c r="A345" t="inlineStr">
        <is>
          <t>Imperdíveis Pizzas salgadas</t>
        </is>
      </c>
      <c r="B345" t="inlineStr">
        <is>
          <t>Pizza Americana</t>
        </is>
      </c>
      <c r="C345" t="inlineStr">
        <is>
          <t>Brotinho</t>
        </is>
      </c>
      <c r="D345" t="inlineStr">
        <is>
          <t>Loja (Retirada)</t>
        </is>
      </c>
      <c r="E345" s="6" t="n"/>
    </row>
    <row r="346">
      <c r="A346" t="inlineStr">
        <is>
          <t>Imperdíveis Pizzas salgadas</t>
        </is>
      </c>
      <c r="B346" t="inlineStr">
        <is>
          <t>Pizza Americana</t>
        </is>
      </c>
      <c r="C346" t="inlineStr">
        <is>
          <t>Brotinho</t>
        </is>
      </c>
      <c r="D346" t="inlineStr">
        <is>
          <t>Keeta</t>
        </is>
      </c>
      <c r="E346" s="6" t="n"/>
    </row>
    <row r="347">
      <c r="A347" t="inlineStr">
        <is>
          <t>Imperdíveis Pizzas salgadas</t>
        </is>
      </c>
      <c r="B347" t="inlineStr">
        <is>
          <t>Pizza Americana</t>
        </is>
      </c>
      <c r="C347" t="inlineStr">
        <is>
          <t>Grande</t>
        </is>
      </c>
      <c r="D347" t="inlineStr">
        <is>
          <t>iFood</t>
        </is>
      </c>
      <c r="E347" s="6" t="n"/>
    </row>
    <row r="348">
      <c r="A348" t="inlineStr">
        <is>
          <t>Imperdíveis Pizzas salgadas</t>
        </is>
      </c>
      <c r="B348" t="inlineStr">
        <is>
          <t>Pizza Americana</t>
        </is>
      </c>
      <c r="C348" t="inlineStr">
        <is>
          <t>Grande</t>
        </is>
      </c>
      <c r="D348" t="inlineStr">
        <is>
          <t>Loja (Retirada)</t>
        </is>
      </c>
      <c r="E348" s="6" t="n"/>
    </row>
    <row r="349">
      <c r="A349" t="inlineStr">
        <is>
          <t>Imperdíveis Pizzas salgadas</t>
        </is>
      </c>
      <c r="B349" t="inlineStr">
        <is>
          <t>Pizza Americana</t>
        </is>
      </c>
      <c r="C349" t="inlineStr">
        <is>
          <t>Grande</t>
        </is>
      </c>
      <c r="D349" t="inlineStr">
        <is>
          <t>Keeta</t>
        </is>
      </c>
      <c r="E349" s="6" t="n"/>
    </row>
    <row r="350">
      <c r="A350" t="inlineStr">
        <is>
          <t>Imperdíveis Pizzas salgadas</t>
        </is>
      </c>
      <c r="B350" t="inlineStr">
        <is>
          <t>Pizza Aliche Importado</t>
        </is>
      </c>
      <c r="C350" t="inlineStr">
        <is>
          <t>Brotinho</t>
        </is>
      </c>
      <c r="D350" t="inlineStr">
        <is>
          <t>iFood</t>
        </is>
      </c>
      <c r="E350" s="6" t="n">
        <v>82.90000000000001</v>
      </c>
    </row>
    <row r="351">
      <c r="A351" t="inlineStr">
        <is>
          <t>Imperdíveis Pizzas salgadas</t>
        </is>
      </c>
      <c r="B351" t="inlineStr">
        <is>
          <t>Pizza Aliche Importado</t>
        </is>
      </c>
      <c r="C351" t="inlineStr">
        <is>
          <t>Brotinho</t>
        </is>
      </c>
      <c r="D351" t="inlineStr">
        <is>
          <t>Loja (Retirada)</t>
        </is>
      </c>
      <c r="E351" s="6" t="n"/>
    </row>
    <row r="352">
      <c r="A352" t="inlineStr">
        <is>
          <t>Imperdíveis Pizzas salgadas</t>
        </is>
      </c>
      <c r="B352" t="inlineStr">
        <is>
          <t>Pizza Aliche Importado</t>
        </is>
      </c>
      <c r="C352" t="inlineStr">
        <is>
          <t>Brotinho</t>
        </is>
      </c>
      <c r="D352" t="inlineStr">
        <is>
          <t>Keeta</t>
        </is>
      </c>
      <c r="E352" s="6" t="n"/>
    </row>
    <row r="353">
      <c r="A353" t="inlineStr">
        <is>
          <t>Imperdíveis Pizzas salgadas</t>
        </is>
      </c>
      <c r="B353" t="inlineStr">
        <is>
          <t>Pizza Aliche Importado</t>
        </is>
      </c>
      <c r="C353" t="inlineStr">
        <is>
          <t>Grande</t>
        </is>
      </c>
      <c r="D353" t="inlineStr">
        <is>
          <t>iFood</t>
        </is>
      </c>
      <c r="E353" s="6" t="n"/>
    </row>
    <row r="354">
      <c r="A354" t="inlineStr">
        <is>
          <t>Imperdíveis Pizzas salgadas</t>
        </is>
      </c>
      <c r="B354" t="inlineStr">
        <is>
          <t>Pizza Aliche Importado</t>
        </is>
      </c>
      <c r="C354" t="inlineStr">
        <is>
          <t>Grande</t>
        </is>
      </c>
      <c r="D354" t="inlineStr">
        <is>
          <t>Loja (Retirada)</t>
        </is>
      </c>
      <c r="E354" s="6" t="n"/>
    </row>
    <row r="355">
      <c r="A355" t="inlineStr">
        <is>
          <t>Imperdíveis Pizzas salgadas</t>
        </is>
      </c>
      <c r="B355" t="inlineStr">
        <is>
          <t>Pizza Aliche Importado</t>
        </is>
      </c>
      <c r="C355" t="inlineStr">
        <is>
          <t>Grande</t>
        </is>
      </c>
      <c r="D355" t="inlineStr">
        <is>
          <t>Keeta</t>
        </is>
      </c>
      <c r="E355" s="6" t="n"/>
    </row>
    <row r="356">
      <c r="A356" t="inlineStr">
        <is>
          <t>Imperdíveis Pizzas salgadas</t>
        </is>
      </c>
      <c r="B356" t="inlineStr">
        <is>
          <t>Pizza Alho Poró</t>
        </is>
      </c>
      <c r="C356" t="inlineStr">
        <is>
          <t>Brotinho</t>
        </is>
      </c>
      <c r="D356" t="inlineStr">
        <is>
          <t>iFood</t>
        </is>
      </c>
      <c r="E356" s="6" t="n">
        <v>63.9</v>
      </c>
    </row>
    <row r="357">
      <c r="A357" t="inlineStr">
        <is>
          <t>Imperdíveis Pizzas salgadas</t>
        </is>
      </c>
      <c r="B357" t="inlineStr">
        <is>
          <t>Pizza Alho Poró</t>
        </is>
      </c>
      <c r="C357" t="inlineStr">
        <is>
          <t>Brotinho</t>
        </is>
      </c>
      <c r="D357" t="inlineStr">
        <is>
          <t>Loja (Retirada)</t>
        </is>
      </c>
      <c r="E357" s="6" t="n"/>
    </row>
    <row r="358">
      <c r="A358" t="inlineStr">
        <is>
          <t>Imperdíveis Pizzas salgadas</t>
        </is>
      </c>
      <c r="B358" t="inlineStr">
        <is>
          <t>Pizza Alho Poró</t>
        </is>
      </c>
      <c r="C358" t="inlineStr">
        <is>
          <t>Brotinho</t>
        </is>
      </c>
      <c r="D358" t="inlineStr">
        <is>
          <t>Keeta</t>
        </is>
      </c>
      <c r="E358" s="6" t="n"/>
    </row>
    <row r="359">
      <c r="A359" t="inlineStr">
        <is>
          <t>Imperdíveis Pizzas salgadas</t>
        </is>
      </c>
      <c r="B359" t="inlineStr">
        <is>
          <t>Pizza Alho Poró</t>
        </is>
      </c>
      <c r="C359" t="inlineStr">
        <is>
          <t>Grande</t>
        </is>
      </c>
      <c r="D359" t="inlineStr">
        <is>
          <t>iFood</t>
        </is>
      </c>
      <c r="E359" s="6" t="n"/>
    </row>
    <row r="360">
      <c r="A360" t="inlineStr">
        <is>
          <t>Imperdíveis Pizzas salgadas</t>
        </is>
      </c>
      <c r="B360" t="inlineStr">
        <is>
          <t>Pizza Alho Poró</t>
        </is>
      </c>
      <c r="C360" t="inlineStr">
        <is>
          <t>Grande</t>
        </is>
      </c>
      <c r="D360" t="inlineStr">
        <is>
          <t>Loja (Retirada)</t>
        </is>
      </c>
      <c r="E360" s="6" t="n"/>
    </row>
    <row r="361">
      <c r="A361" t="inlineStr">
        <is>
          <t>Imperdíveis Pizzas salgadas</t>
        </is>
      </c>
      <c r="B361" t="inlineStr">
        <is>
          <t>Pizza Alho Poró</t>
        </is>
      </c>
      <c r="C361" t="inlineStr">
        <is>
          <t>Grande</t>
        </is>
      </c>
      <c r="D361" t="inlineStr">
        <is>
          <t>Keeta</t>
        </is>
      </c>
      <c r="E361" s="6" t="n"/>
    </row>
    <row r="362">
      <c r="A362" t="inlineStr">
        <is>
          <t>Imperdíveis Pizzas salgadas</t>
        </is>
      </c>
      <c r="B362" t="inlineStr">
        <is>
          <t>Pizza Alho</t>
        </is>
      </c>
      <c r="C362" t="inlineStr">
        <is>
          <t>Brotinho</t>
        </is>
      </c>
      <c r="D362" t="inlineStr">
        <is>
          <t>iFood</t>
        </is>
      </c>
      <c r="E362" s="6" t="n">
        <v>63.9</v>
      </c>
    </row>
    <row r="363">
      <c r="A363" t="inlineStr">
        <is>
          <t>Imperdíveis Pizzas salgadas</t>
        </is>
      </c>
      <c r="B363" t="inlineStr">
        <is>
          <t>Pizza Alho</t>
        </is>
      </c>
      <c r="C363" t="inlineStr">
        <is>
          <t>Brotinho</t>
        </is>
      </c>
      <c r="D363" t="inlineStr">
        <is>
          <t>Loja (Retirada)</t>
        </is>
      </c>
      <c r="E363" s="6" t="n"/>
    </row>
    <row r="364">
      <c r="A364" t="inlineStr">
        <is>
          <t>Imperdíveis Pizzas salgadas</t>
        </is>
      </c>
      <c r="B364" t="inlineStr">
        <is>
          <t>Pizza Alho</t>
        </is>
      </c>
      <c r="C364" t="inlineStr">
        <is>
          <t>Brotinho</t>
        </is>
      </c>
      <c r="D364" t="inlineStr">
        <is>
          <t>Keeta</t>
        </is>
      </c>
      <c r="E364" s="6" t="n"/>
    </row>
    <row r="365">
      <c r="A365" t="inlineStr">
        <is>
          <t>Imperdíveis Pizzas salgadas</t>
        </is>
      </c>
      <c r="B365" t="inlineStr">
        <is>
          <t>Pizza Alho</t>
        </is>
      </c>
      <c r="C365" t="inlineStr">
        <is>
          <t>Grande</t>
        </is>
      </c>
      <c r="D365" t="inlineStr">
        <is>
          <t>iFood</t>
        </is>
      </c>
      <c r="E365" s="6" t="n"/>
    </row>
    <row r="366">
      <c r="A366" t="inlineStr">
        <is>
          <t>Imperdíveis Pizzas salgadas</t>
        </is>
      </c>
      <c r="B366" t="inlineStr">
        <is>
          <t>Pizza Alho</t>
        </is>
      </c>
      <c r="C366" t="inlineStr">
        <is>
          <t>Grande</t>
        </is>
      </c>
      <c r="D366" t="inlineStr">
        <is>
          <t>Loja (Retirada)</t>
        </is>
      </c>
      <c r="E366" s="6" t="n"/>
    </row>
    <row r="367">
      <c r="A367" t="inlineStr">
        <is>
          <t>Imperdíveis Pizzas salgadas</t>
        </is>
      </c>
      <c r="B367" t="inlineStr">
        <is>
          <t>Pizza Alho</t>
        </is>
      </c>
      <c r="C367" t="inlineStr">
        <is>
          <t>Grande</t>
        </is>
      </c>
      <c r="D367" t="inlineStr">
        <is>
          <t>Keeta</t>
        </is>
      </c>
      <c r="E367" s="6" t="n"/>
    </row>
    <row r="368">
      <c r="A368" t="inlineStr">
        <is>
          <t>Imperdíveis Pizzas salgadas</t>
        </is>
      </c>
      <c r="B368" t="inlineStr">
        <is>
          <t>Pizza Alcachofra Especial</t>
        </is>
      </c>
      <c r="C368" t="inlineStr">
        <is>
          <t>Brotinho</t>
        </is>
      </c>
      <c r="D368" t="inlineStr">
        <is>
          <t>iFood</t>
        </is>
      </c>
      <c r="E368" s="6" t="n">
        <v>81.90000000000001</v>
      </c>
    </row>
    <row r="369">
      <c r="A369" t="inlineStr">
        <is>
          <t>Imperdíveis Pizzas salgadas</t>
        </is>
      </c>
      <c r="B369" t="inlineStr">
        <is>
          <t>Pizza Alcachofra Especial</t>
        </is>
      </c>
      <c r="C369" t="inlineStr">
        <is>
          <t>Brotinho</t>
        </is>
      </c>
      <c r="D369" t="inlineStr">
        <is>
          <t>Loja (Retirada)</t>
        </is>
      </c>
      <c r="E369" s="6" t="n"/>
    </row>
    <row r="370">
      <c r="A370" t="inlineStr">
        <is>
          <t>Imperdíveis Pizzas salgadas</t>
        </is>
      </c>
      <c r="B370" t="inlineStr">
        <is>
          <t>Pizza Alcachofra Especial</t>
        </is>
      </c>
      <c r="C370" t="inlineStr">
        <is>
          <t>Brotinho</t>
        </is>
      </c>
      <c r="D370" t="inlineStr">
        <is>
          <t>Keeta</t>
        </is>
      </c>
      <c r="E370" s="6" t="n"/>
    </row>
    <row r="371">
      <c r="A371" t="inlineStr">
        <is>
          <t>Imperdíveis Pizzas salgadas</t>
        </is>
      </c>
      <c r="B371" t="inlineStr">
        <is>
          <t>Pizza Alcachofra Especial</t>
        </is>
      </c>
      <c r="C371" t="inlineStr">
        <is>
          <t>Grande</t>
        </is>
      </c>
      <c r="D371" t="inlineStr">
        <is>
          <t>iFood</t>
        </is>
      </c>
      <c r="E371" s="6" t="n"/>
    </row>
    <row r="372">
      <c r="A372" t="inlineStr">
        <is>
          <t>Imperdíveis Pizzas salgadas</t>
        </is>
      </c>
      <c r="B372" t="inlineStr">
        <is>
          <t>Pizza Alcachofra Especial</t>
        </is>
      </c>
      <c r="C372" t="inlineStr">
        <is>
          <t>Grande</t>
        </is>
      </c>
      <c r="D372" t="inlineStr">
        <is>
          <t>Loja (Retirada)</t>
        </is>
      </c>
      <c r="E372" s="6" t="n"/>
    </row>
    <row r="373">
      <c r="A373" t="inlineStr">
        <is>
          <t>Imperdíveis Pizzas salgadas</t>
        </is>
      </c>
      <c r="B373" t="inlineStr">
        <is>
          <t>Pizza Alcachofra Especial</t>
        </is>
      </c>
      <c r="C373" t="inlineStr">
        <is>
          <t>Grande</t>
        </is>
      </c>
      <c r="D373" t="inlineStr">
        <is>
          <t>Keeta</t>
        </is>
      </c>
      <c r="E373" s="6" t="n"/>
    </row>
    <row r="374">
      <c r="A374" t="inlineStr">
        <is>
          <t>Imperdíveis Pizzas salgadas</t>
        </is>
      </c>
      <c r="B374" t="inlineStr">
        <is>
          <t>Pizza Alcachofra</t>
        </is>
      </c>
      <c r="C374" t="inlineStr">
        <is>
          <t>Brotinho</t>
        </is>
      </c>
      <c r="D374" t="inlineStr">
        <is>
          <t>iFood</t>
        </is>
      </c>
      <c r="E374" s="6" t="n">
        <v>69.90000000000001</v>
      </c>
    </row>
    <row r="375">
      <c r="A375" t="inlineStr">
        <is>
          <t>Imperdíveis Pizzas salgadas</t>
        </is>
      </c>
      <c r="B375" t="inlineStr">
        <is>
          <t>Pizza Alcachofra</t>
        </is>
      </c>
      <c r="C375" t="inlineStr">
        <is>
          <t>Brotinho</t>
        </is>
      </c>
      <c r="D375" t="inlineStr">
        <is>
          <t>Loja (Retirada)</t>
        </is>
      </c>
      <c r="E375" s="6" t="n"/>
    </row>
    <row r="376">
      <c r="A376" t="inlineStr">
        <is>
          <t>Imperdíveis Pizzas salgadas</t>
        </is>
      </c>
      <c r="B376" t="inlineStr">
        <is>
          <t>Pizza Alcachofra</t>
        </is>
      </c>
      <c r="C376" t="inlineStr">
        <is>
          <t>Brotinho</t>
        </is>
      </c>
      <c r="D376" t="inlineStr">
        <is>
          <t>Keeta</t>
        </is>
      </c>
      <c r="E376" s="6" t="n"/>
    </row>
    <row r="377">
      <c r="A377" t="inlineStr">
        <is>
          <t>Imperdíveis Pizzas salgadas</t>
        </is>
      </c>
      <c r="B377" t="inlineStr">
        <is>
          <t>Pizza Alcachofra</t>
        </is>
      </c>
      <c r="C377" t="inlineStr">
        <is>
          <t>Grande</t>
        </is>
      </c>
      <c r="D377" t="inlineStr">
        <is>
          <t>iFood</t>
        </is>
      </c>
      <c r="E377" s="6" t="n"/>
    </row>
    <row r="378">
      <c r="A378" t="inlineStr">
        <is>
          <t>Imperdíveis Pizzas salgadas</t>
        </is>
      </c>
      <c r="B378" t="inlineStr">
        <is>
          <t>Pizza Alcachofra</t>
        </is>
      </c>
      <c r="C378" t="inlineStr">
        <is>
          <t>Grande</t>
        </is>
      </c>
      <c r="D378" t="inlineStr">
        <is>
          <t>Loja (Retirada)</t>
        </is>
      </c>
      <c r="E378" s="6" t="n"/>
    </row>
    <row r="379">
      <c r="A379" t="inlineStr">
        <is>
          <t>Imperdíveis Pizzas salgadas</t>
        </is>
      </c>
      <c r="B379" t="inlineStr">
        <is>
          <t>Pizza Alcachofra</t>
        </is>
      </c>
      <c r="C379" t="inlineStr">
        <is>
          <t>Grande</t>
        </is>
      </c>
      <c r="D379" t="inlineStr">
        <is>
          <t>Keeta</t>
        </is>
      </c>
      <c r="E379" s="6" t="n"/>
    </row>
    <row r="380">
      <c r="A380" t="inlineStr">
        <is>
          <t>Imperdíveis Pizzas salgadas</t>
        </is>
      </c>
      <c r="B380" t="inlineStr">
        <is>
          <t>Pizza Aladinele</t>
        </is>
      </c>
      <c r="C380" t="inlineStr">
        <is>
          <t>Brotinho</t>
        </is>
      </c>
      <c r="D380" t="inlineStr">
        <is>
          <t>iFood</t>
        </is>
      </c>
      <c r="E380" s="6" t="n">
        <v>69.90000000000001</v>
      </c>
    </row>
    <row r="381">
      <c r="A381" t="inlineStr">
        <is>
          <t>Imperdíveis Pizzas salgadas</t>
        </is>
      </c>
      <c r="B381" t="inlineStr">
        <is>
          <t>Pizza Aladinele</t>
        </is>
      </c>
      <c r="C381" t="inlineStr">
        <is>
          <t>Brotinho</t>
        </is>
      </c>
      <c r="D381" t="inlineStr">
        <is>
          <t>Loja (Retirada)</t>
        </is>
      </c>
      <c r="E381" s="6" t="n"/>
    </row>
    <row r="382">
      <c r="A382" t="inlineStr">
        <is>
          <t>Imperdíveis Pizzas salgadas</t>
        </is>
      </c>
      <c r="B382" t="inlineStr">
        <is>
          <t>Pizza Aladinele</t>
        </is>
      </c>
      <c r="C382" t="inlineStr">
        <is>
          <t>Brotinho</t>
        </is>
      </c>
      <c r="D382" t="inlineStr">
        <is>
          <t>Keeta</t>
        </is>
      </c>
      <c r="E382" s="6" t="n"/>
    </row>
    <row r="383">
      <c r="A383" t="inlineStr">
        <is>
          <t>Imperdíveis Pizzas salgadas</t>
        </is>
      </c>
      <c r="B383" t="inlineStr">
        <is>
          <t>Pizza Aladinele</t>
        </is>
      </c>
      <c r="C383" t="inlineStr">
        <is>
          <t>Grande</t>
        </is>
      </c>
      <c r="D383" t="inlineStr">
        <is>
          <t>iFood</t>
        </is>
      </c>
      <c r="E383" s="6" t="n"/>
    </row>
    <row r="384">
      <c r="A384" t="inlineStr">
        <is>
          <t>Imperdíveis Pizzas salgadas</t>
        </is>
      </c>
      <c r="B384" t="inlineStr">
        <is>
          <t>Pizza Aladinele</t>
        </is>
      </c>
      <c r="C384" t="inlineStr">
        <is>
          <t>Grande</t>
        </is>
      </c>
      <c r="D384" t="inlineStr">
        <is>
          <t>Loja (Retirada)</t>
        </is>
      </c>
      <c r="E384" s="6" t="n"/>
    </row>
    <row r="385">
      <c r="A385" t="inlineStr">
        <is>
          <t>Imperdíveis Pizzas salgadas</t>
        </is>
      </c>
      <c r="B385" t="inlineStr">
        <is>
          <t>Pizza Aladinele</t>
        </is>
      </c>
      <c r="C385" t="inlineStr">
        <is>
          <t>Grande</t>
        </is>
      </c>
      <c r="D385" t="inlineStr">
        <is>
          <t>Keeta</t>
        </is>
      </c>
      <c r="E385" s="6" t="n"/>
    </row>
    <row r="386">
      <c r="A386" t="inlineStr">
        <is>
          <t>Imperdíveis Pizzas salgadas</t>
        </is>
      </c>
      <c r="B386" t="inlineStr">
        <is>
          <t>Pizza Abobrinha</t>
        </is>
      </c>
      <c r="C386" t="inlineStr">
        <is>
          <t>Brotinho</t>
        </is>
      </c>
      <c r="D386" t="inlineStr">
        <is>
          <t>iFood</t>
        </is>
      </c>
      <c r="E386" s="6" t="n">
        <v>59.9</v>
      </c>
    </row>
    <row r="387">
      <c r="A387" t="inlineStr">
        <is>
          <t>Imperdíveis Pizzas salgadas</t>
        </is>
      </c>
      <c r="B387" t="inlineStr">
        <is>
          <t>Pizza Abobrinha</t>
        </is>
      </c>
      <c r="C387" t="inlineStr">
        <is>
          <t>Brotinho</t>
        </is>
      </c>
      <c r="D387" t="inlineStr">
        <is>
          <t>Loja (Retirada)</t>
        </is>
      </c>
      <c r="E387" s="6" t="n"/>
    </row>
    <row r="388">
      <c r="A388" t="inlineStr">
        <is>
          <t>Imperdíveis Pizzas salgadas</t>
        </is>
      </c>
      <c r="B388" t="inlineStr">
        <is>
          <t>Pizza Abobrinha</t>
        </is>
      </c>
      <c r="C388" t="inlineStr">
        <is>
          <t>Brotinho</t>
        </is>
      </c>
      <c r="D388" t="inlineStr">
        <is>
          <t>Keeta</t>
        </is>
      </c>
      <c r="E388" s="6" t="n"/>
    </row>
    <row r="389">
      <c r="A389" t="inlineStr">
        <is>
          <t>Imperdíveis Pizzas salgadas</t>
        </is>
      </c>
      <c r="B389" t="inlineStr">
        <is>
          <t>Pizza Abobrinha</t>
        </is>
      </c>
      <c r="C389" t="inlineStr">
        <is>
          <t>Grande</t>
        </is>
      </c>
      <c r="D389" t="inlineStr">
        <is>
          <t>iFood</t>
        </is>
      </c>
      <c r="E389" s="6" t="n"/>
    </row>
    <row r="390">
      <c r="A390" t="inlineStr">
        <is>
          <t>Imperdíveis Pizzas salgadas</t>
        </is>
      </c>
      <c r="B390" t="inlineStr">
        <is>
          <t>Pizza Abobrinha</t>
        </is>
      </c>
      <c r="C390" t="inlineStr">
        <is>
          <t>Grande</t>
        </is>
      </c>
      <c r="D390" t="inlineStr">
        <is>
          <t>Loja (Retirada)</t>
        </is>
      </c>
      <c r="E390" s="6" t="n"/>
    </row>
    <row r="391">
      <c r="A391" t="inlineStr">
        <is>
          <t>Imperdíveis Pizzas salgadas</t>
        </is>
      </c>
      <c r="B391" t="inlineStr">
        <is>
          <t>Pizza Abobrinha</t>
        </is>
      </c>
      <c r="C391" t="inlineStr">
        <is>
          <t>Grande</t>
        </is>
      </c>
      <c r="D391" t="inlineStr">
        <is>
          <t>Keeta</t>
        </is>
      </c>
      <c r="E391" s="6" t="n"/>
    </row>
    <row r="392">
      <c r="A392" t="inlineStr">
        <is>
          <t>Imperdíveis Pizzas salgadas</t>
        </is>
      </c>
      <c r="B392" t="inlineStr">
        <is>
          <t>Pizza À Moda Da Casa</t>
        </is>
      </c>
      <c r="C392" t="inlineStr">
        <is>
          <t>Brotinho</t>
        </is>
      </c>
      <c r="D392" t="inlineStr">
        <is>
          <t>iFood</t>
        </is>
      </c>
      <c r="E392" s="6" t="n">
        <v>84.90000000000001</v>
      </c>
    </row>
    <row r="393">
      <c r="A393" t="inlineStr">
        <is>
          <t>Imperdíveis Pizzas salgadas</t>
        </is>
      </c>
      <c r="B393" t="inlineStr">
        <is>
          <t>Pizza À Moda Da Casa</t>
        </is>
      </c>
      <c r="C393" t="inlineStr">
        <is>
          <t>Brotinho</t>
        </is>
      </c>
      <c r="D393" t="inlineStr">
        <is>
          <t>Loja (Retirada)</t>
        </is>
      </c>
      <c r="E393" s="6" t="n"/>
    </row>
    <row r="394">
      <c r="A394" t="inlineStr">
        <is>
          <t>Imperdíveis Pizzas salgadas</t>
        </is>
      </c>
      <c r="B394" t="inlineStr">
        <is>
          <t>Pizza À Moda Da Casa</t>
        </is>
      </c>
      <c r="C394" t="inlineStr">
        <is>
          <t>Brotinho</t>
        </is>
      </c>
      <c r="D394" t="inlineStr">
        <is>
          <t>Keeta</t>
        </is>
      </c>
      <c r="E394" s="6" t="n"/>
    </row>
    <row r="395">
      <c r="A395" t="inlineStr">
        <is>
          <t>Imperdíveis Pizzas salgadas</t>
        </is>
      </c>
      <c r="B395" t="inlineStr">
        <is>
          <t>Pizza À Moda Da Casa</t>
        </is>
      </c>
      <c r="C395" t="inlineStr">
        <is>
          <t>Grande</t>
        </is>
      </c>
      <c r="D395" t="inlineStr">
        <is>
          <t>iFood</t>
        </is>
      </c>
      <c r="E395" s="6" t="n"/>
    </row>
    <row r="396">
      <c r="A396" t="inlineStr">
        <is>
          <t>Imperdíveis Pizzas salgadas</t>
        </is>
      </c>
      <c r="B396" t="inlineStr">
        <is>
          <t>Pizza À Moda Da Casa</t>
        </is>
      </c>
      <c r="C396" t="inlineStr">
        <is>
          <t>Grande</t>
        </is>
      </c>
      <c r="D396" t="inlineStr">
        <is>
          <t>Loja (Retirada)</t>
        </is>
      </c>
      <c r="E396" s="6" t="n"/>
    </row>
    <row r="397">
      <c r="A397" t="inlineStr">
        <is>
          <t>Imperdíveis Pizzas salgadas</t>
        </is>
      </c>
      <c r="B397" t="inlineStr">
        <is>
          <t>Pizza À Moda Da Casa</t>
        </is>
      </c>
      <c r="C397" t="inlineStr">
        <is>
          <t>Grande</t>
        </is>
      </c>
      <c r="D397" t="inlineStr">
        <is>
          <t>Keeta</t>
        </is>
      </c>
      <c r="E397" s="6" t="n"/>
    </row>
    <row r="398">
      <c r="A398" t="inlineStr">
        <is>
          <t>Imperdíveis Pizzas salgadas</t>
        </is>
      </c>
      <c r="B398" t="inlineStr">
        <is>
          <t>Pizza 5 Queijos</t>
        </is>
      </c>
      <c r="C398" t="inlineStr">
        <is>
          <t>Brotinho</t>
        </is>
      </c>
      <c r="D398" t="inlineStr">
        <is>
          <t>iFood</t>
        </is>
      </c>
      <c r="E398" s="6" t="n">
        <v>83.90000000000001</v>
      </c>
    </row>
    <row r="399">
      <c r="A399" t="inlineStr">
        <is>
          <t>Imperdíveis Pizzas salgadas</t>
        </is>
      </c>
      <c r="B399" t="inlineStr">
        <is>
          <t>Pizza 5 Queijos</t>
        </is>
      </c>
      <c r="C399" t="inlineStr">
        <is>
          <t>Brotinho</t>
        </is>
      </c>
      <c r="D399" t="inlineStr">
        <is>
          <t>Loja (Retirada)</t>
        </is>
      </c>
      <c r="E399" s="6" t="n"/>
    </row>
    <row r="400">
      <c r="A400" t="inlineStr">
        <is>
          <t>Imperdíveis Pizzas salgadas</t>
        </is>
      </c>
      <c r="B400" t="inlineStr">
        <is>
          <t>Pizza 5 Queijos</t>
        </is>
      </c>
      <c r="C400" t="inlineStr">
        <is>
          <t>Brotinho</t>
        </is>
      </c>
      <c r="D400" t="inlineStr">
        <is>
          <t>Keeta</t>
        </is>
      </c>
      <c r="E400" s="6" t="n"/>
    </row>
    <row r="401">
      <c r="A401" t="inlineStr">
        <is>
          <t>Imperdíveis Pizzas salgadas</t>
        </is>
      </c>
      <c r="B401" t="inlineStr">
        <is>
          <t>Pizza 5 Queijos</t>
        </is>
      </c>
      <c r="C401" t="inlineStr">
        <is>
          <t>Grande</t>
        </is>
      </c>
      <c r="D401" t="inlineStr">
        <is>
          <t>iFood</t>
        </is>
      </c>
      <c r="E401" s="6" t="n"/>
    </row>
    <row r="402">
      <c r="A402" t="inlineStr">
        <is>
          <t>Imperdíveis Pizzas salgadas</t>
        </is>
      </c>
      <c r="B402" t="inlineStr">
        <is>
          <t>Pizza 5 Queijos</t>
        </is>
      </c>
      <c r="C402" t="inlineStr">
        <is>
          <t>Grande</t>
        </is>
      </c>
      <c r="D402" t="inlineStr">
        <is>
          <t>Loja (Retirada)</t>
        </is>
      </c>
      <c r="E402" s="6" t="n"/>
    </row>
    <row r="403">
      <c r="A403" t="inlineStr">
        <is>
          <t>Imperdíveis Pizzas salgadas</t>
        </is>
      </c>
      <c r="B403" t="inlineStr">
        <is>
          <t>Pizza 5 Queijos</t>
        </is>
      </c>
      <c r="C403" t="inlineStr">
        <is>
          <t>Grande</t>
        </is>
      </c>
      <c r="D403" t="inlineStr">
        <is>
          <t>Keeta</t>
        </is>
      </c>
      <c r="E403" s="6" t="n"/>
    </row>
    <row r="404">
      <c r="A404" t="inlineStr">
        <is>
          <t>Imperdíveis Pizzas salgadas</t>
        </is>
      </c>
      <c r="B404" t="inlineStr">
        <is>
          <t>Pizza 4 Queijos</t>
        </is>
      </c>
      <c r="C404" t="inlineStr">
        <is>
          <t>Brotinho</t>
        </is>
      </c>
      <c r="D404" t="inlineStr">
        <is>
          <t>iFood</t>
        </is>
      </c>
      <c r="E404" s="6" t="n">
        <v>76.90000000000001</v>
      </c>
    </row>
    <row r="405">
      <c r="A405" t="inlineStr">
        <is>
          <t>Imperdíveis Pizzas salgadas</t>
        </is>
      </c>
      <c r="B405" t="inlineStr">
        <is>
          <t>Pizza 4 Queijos</t>
        </is>
      </c>
      <c r="C405" t="inlineStr">
        <is>
          <t>Brotinho</t>
        </is>
      </c>
      <c r="D405" t="inlineStr">
        <is>
          <t>Loja (Retirada)</t>
        </is>
      </c>
      <c r="E405" s="6" t="n"/>
    </row>
    <row r="406">
      <c r="A406" t="inlineStr">
        <is>
          <t>Imperdíveis Pizzas salgadas</t>
        </is>
      </c>
      <c r="B406" t="inlineStr">
        <is>
          <t>Pizza 4 Queijos</t>
        </is>
      </c>
      <c r="C406" t="inlineStr">
        <is>
          <t>Brotinho</t>
        </is>
      </c>
      <c r="D406" t="inlineStr">
        <is>
          <t>Keeta</t>
        </is>
      </c>
      <c r="E406" s="6" t="n"/>
    </row>
    <row r="407">
      <c r="A407" t="inlineStr">
        <is>
          <t>Imperdíveis Pizzas salgadas</t>
        </is>
      </c>
      <c r="B407" t="inlineStr">
        <is>
          <t>Pizza 4 Queijos</t>
        </is>
      </c>
      <c r="C407" t="inlineStr">
        <is>
          <t>Grande</t>
        </is>
      </c>
      <c r="D407" t="inlineStr">
        <is>
          <t>iFood</t>
        </is>
      </c>
      <c r="E407" s="6" t="n"/>
    </row>
    <row r="408">
      <c r="A408" t="inlineStr">
        <is>
          <t>Imperdíveis Pizzas salgadas</t>
        </is>
      </c>
      <c r="B408" t="inlineStr">
        <is>
          <t>Pizza 4 Queijos</t>
        </is>
      </c>
      <c r="C408" t="inlineStr">
        <is>
          <t>Grande</t>
        </is>
      </c>
      <c r="D408" t="inlineStr">
        <is>
          <t>Loja (Retirada)</t>
        </is>
      </c>
      <c r="E408" s="6" t="n"/>
    </row>
    <row r="409">
      <c r="A409" t="inlineStr">
        <is>
          <t>Imperdíveis Pizzas salgadas</t>
        </is>
      </c>
      <c r="B409" t="inlineStr">
        <is>
          <t>Pizza 4 Queijos</t>
        </is>
      </c>
      <c r="C409" t="inlineStr">
        <is>
          <t>Grande</t>
        </is>
      </c>
      <c r="D409" t="inlineStr">
        <is>
          <t>Keeta</t>
        </is>
      </c>
      <c r="E409" s="6" t="n"/>
    </row>
    <row r="410">
      <c r="A410" t="inlineStr">
        <is>
          <t>Imperdíveis Pizzas salgadas</t>
        </is>
      </c>
      <c r="B410" t="inlineStr">
        <is>
          <t>Pizza 2 Queijos</t>
        </is>
      </c>
      <c r="C410" t="inlineStr">
        <is>
          <t>Brotinho</t>
        </is>
      </c>
      <c r="D410" t="inlineStr">
        <is>
          <t>iFood</t>
        </is>
      </c>
      <c r="E410" s="6" t="n">
        <v>68.90000000000001</v>
      </c>
    </row>
    <row r="411">
      <c r="A411" t="inlineStr">
        <is>
          <t>Imperdíveis Pizzas salgadas</t>
        </is>
      </c>
      <c r="B411" t="inlineStr">
        <is>
          <t>Pizza 2 Queijos</t>
        </is>
      </c>
      <c r="C411" t="inlineStr">
        <is>
          <t>Brotinho</t>
        </is>
      </c>
      <c r="D411" t="inlineStr">
        <is>
          <t>Loja (Retirada)</t>
        </is>
      </c>
      <c r="E411" s="6" t="n"/>
    </row>
    <row r="412">
      <c r="A412" t="inlineStr">
        <is>
          <t>Imperdíveis Pizzas salgadas</t>
        </is>
      </c>
      <c r="B412" t="inlineStr">
        <is>
          <t>Pizza 2 Queijos</t>
        </is>
      </c>
      <c r="C412" t="inlineStr">
        <is>
          <t>Brotinho</t>
        </is>
      </c>
      <c r="D412" t="inlineStr">
        <is>
          <t>Keeta</t>
        </is>
      </c>
      <c r="E412" s="6" t="n"/>
    </row>
    <row r="413">
      <c r="A413" t="inlineStr">
        <is>
          <t>Imperdíveis Pizzas salgadas</t>
        </is>
      </c>
      <c r="B413" t="inlineStr">
        <is>
          <t>Pizza 2 Queijos</t>
        </is>
      </c>
      <c r="C413" t="inlineStr">
        <is>
          <t>Grande</t>
        </is>
      </c>
      <c r="D413" t="inlineStr">
        <is>
          <t>iFood</t>
        </is>
      </c>
      <c r="E413" s="6" t="n"/>
    </row>
    <row r="414">
      <c r="A414" t="inlineStr">
        <is>
          <t>Imperdíveis Pizzas salgadas</t>
        </is>
      </c>
      <c r="B414" t="inlineStr">
        <is>
          <t>Pizza 2 Queijos</t>
        </is>
      </c>
      <c r="C414" t="inlineStr">
        <is>
          <t>Grande</t>
        </is>
      </c>
      <c r="D414" t="inlineStr">
        <is>
          <t>Loja (Retirada)</t>
        </is>
      </c>
      <c r="E414" s="6" t="n"/>
    </row>
    <row r="415">
      <c r="A415" t="inlineStr">
        <is>
          <t>Imperdíveis Pizzas salgadas</t>
        </is>
      </c>
      <c r="B415" t="inlineStr">
        <is>
          <t>Pizza 2 Queijos</t>
        </is>
      </c>
      <c r="C415" t="inlineStr">
        <is>
          <t>Grande</t>
        </is>
      </c>
      <c r="D415" t="inlineStr">
        <is>
          <t>Keeta</t>
        </is>
      </c>
      <c r="E415" s="6" t="n"/>
    </row>
    <row r="416">
      <c r="A416" t="inlineStr">
        <is>
          <t>As Queridinhas Pizzas Doces</t>
        </is>
      </c>
      <c r="B416" t="inlineStr">
        <is>
          <t>Chocolate com morango</t>
        </is>
      </c>
      <c r="C416" t="inlineStr">
        <is>
          <t>Brotinho</t>
        </is>
      </c>
      <c r="D416" t="inlineStr">
        <is>
          <t>iFood</t>
        </is>
      </c>
      <c r="E416" s="6" t="n">
        <v>65.90000000000001</v>
      </c>
    </row>
    <row r="417">
      <c r="A417" t="inlineStr">
        <is>
          <t>As Queridinhas Pizzas Doces</t>
        </is>
      </c>
      <c r="B417" t="inlineStr">
        <is>
          <t>Chocolate com morango</t>
        </is>
      </c>
      <c r="C417" t="inlineStr">
        <is>
          <t>Brotinho</t>
        </is>
      </c>
      <c r="D417" t="inlineStr">
        <is>
          <t>Loja (Retirada)</t>
        </is>
      </c>
      <c r="E417" s="6" t="n"/>
    </row>
    <row r="418">
      <c r="A418" t="inlineStr">
        <is>
          <t>As Queridinhas Pizzas Doces</t>
        </is>
      </c>
      <c r="B418" t="inlineStr">
        <is>
          <t>Chocolate com morango</t>
        </is>
      </c>
      <c r="C418" t="inlineStr">
        <is>
          <t>Brotinho</t>
        </is>
      </c>
      <c r="D418" t="inlineStr">
        <is>
          <t>Keeta</t>
        </is>
      </c>
      <c r="E418" s="6" t="n"/>
    </row>
    <row r="419">
      <c r="A419" t="inlineStr">
        <is>
          <t>As Queridinhas Pizzas Doces</t>
        </is>
      </c>
      <c r="B419" t="inlineStr">
        <is>
          <t>Chocolate com morango</t>
        </is>
      </c>
      <c r="C419" t="inlineStr">
        <is>
          <t>Grande</t>
        </is>
      </c>
      <c r="D419" t="inlineStr">
        <is>
          <t>iFood</t>
        </is>
      </c>
      <c r="E419" s="6" t="n"/>
    </row>
    <row r="420">
      <c r="A420" t="inlineStr">
        <is>
          <t>As Queridinhas Pizzas Doces</t>
        </is>
      </c>
      <c r="B420" t="inlineStr">
        <is>
          <t>Chocolate com morango</t>
        </is>
      </c>
      <c r="C420" t="inlineStr">
        <is>
          <t>Grande</t>
        </is>
      </c>
      <c r="D420" t="inlineStr">
        <is>
          <t>Loja (Retirada)</t>
        </is>
      </c>
      <c r="E420" s="6" t="n"/>
    </row>
    <row r="421">
      <c r="A421" t="inlineStr">
        <is>
          <t>As Queridinhas Pizzas Doces</t>
        </is>
      </c>
      <c r="B421" t="inlineStr">
        <is>
          <t>Chocolate com morango</t>
        </is>
      </c>
      <c r="C421" t="inlineStr">
        <is>
          <t>Grande</t>
        </is>
      </c>
      <c r="D421" t="inlineStr">
        <is>
          <t>Keeta</t>
        </is>
      </c>
      <c r="E421" s="6" t="n"/>
    </row>
    <row r="422">
      <c r="A422" t="inlineStr">
        <is>
          <t>As Queridinhas Pizzas Doces</t>
        </is>
      </c>
      <c r="B422" t="inlineStr">
        <is>
          <t>Pizza Romeu E Julieta</t>
        </is>
      </c>
      <c r="C422" t="inlineStr">
        <is>
          <t>Brotinho</t>
        </is>
      </c>
      <c r="D422" t="inlineStr">
        <is>
          <t>iFood</t>
        </is>
      </c>
      <c r="E422" s="6" t="n">
        <v>59.9</v>
      </c>
    </row>
    <row r="423">
      <c r="A423" t="inlineStr">
        <is>
          <t>As Queridinhas Pizzas Doces</t>
        </is>
      </c>
      <c r="B423" t="inlineStr">
        <is>
          <t>Pizza Romeu E Julieta</t>
        </is>
      </c>
      <c r="C423" t="inlineStr">
        <is>
          <t>Brotinho</t>
        </is>
      </c>
      <c r="D423" t="inlineStr">
        <is>
          <t>Loja (Retirada)</t>
        </is>
      </c>
      <c r="E423" s="6" t="n"/>
    </row>
    <row r="424">
      <c r="A424" t="inlineStr">
        <is>
          <t>As Queridinhas Pizzas Doces</t>
        </is>
      </c>
      <c r="B424" t="inlineStr">
        <is>
          <t>Pizza Romeu E Julieta</t>
        </is>
      </c>
      <c r="C424" t="inlineStr">
        <is>
          <t>Brotinho</t>
        </is>
      </c>
      <c r="D424" t="inlineStr">
        <is>
          <t>Keeta</t>
        </is>
      </c>
      <c r="E424" s="6" t="n"/>
    </row>
    <row r="425">
      <c r="A425" t="inlineStr">
        <is>
          <t>As Queridinhas Pizzas Doces</t>
        </is>
      </c>
      <c r="B425" t="inlineStr">
        <is>
          <t>Pizza Romeu E Julieta</t>
        </is>
      </c>
      <c r="C425" t="inlineStr">
        <is>
          <t>Grande</t>
        </is>
      </c>
      <c r="D425" t="inlineStr">
        <is>
          <t>iFood</t>
        </is>
      </c>
      <c r="E425" s="6" t="n"/>
    </row>
    <row r="426">
      <c r="A426" t="inlineStr">
        <is>
          <t>As Queridinhas Pizzas Doces</t>
        </is>
      </c>
      <c r="B426" t="inlineStr">
        <is>
          <t>Pizza Romeu E Julieta</t>
        </is>
      </c>
      <c r="C426" t="inlineStr">
        <is>
          <t>Grande</t>
        </is>
      </c>
      <c r="D426" t="inlineStr">
        <is>
          <t>Loja (Retirada)</t>
        </is>
      </c>
      <c r="E426" s="6" t="n"/>
    </row>
    <row r="427">
      <c r="A427" t="inlineStr">
        <is>
          <t>As Queridinhas Pizzas Doces</t>
        </is>
      </c>
      <c r="B427" t="inlineStr">
        <is>
          <t>Pizza Romeu E Julieta</t>
        </is>
      </c>
      <c r="C427" t="inlineStr">
        <is>
          <t>Grande</t>
        </is>
      </c>
      <c r="D427" t="inlineStr">
        <is>
          <t>Keeta</t>
        </is>
      </c>
      <c r="E427" s="6" t="n"/>
    </row>
    <row r="428">
      <c r="A428" t="inlineStr">
        <is>
          <t>As Queridinhas Pizzas Doces</t>
        </is>
      </c>
      <c r="B428" t="inlineStr">
        <is>
          <t>Pizza Brigadeiro</t>
        </is>
      </c>
      <c r="C428" t="inlineStr">
        <is>
          <t>Brotinho</t>
        </is>
      </c>
      <c r="D428" t="inlineStr">
        <is>
          <t>iFood</t>
        </is>
      </c>
      <c r="E428" s="6" t="n">
        <v>43.9</v>
      </c>
    </row>
    <row r="429">
      <c r="A429" t="inlineStr">
        <is>
          <t>As Queridinhas Pizzas Doces</t>
        </is>
      </c>
      <c r="B429" t="inlineStr">
        <is>
          <t>Pizza Brigadeiro</t>
        </is>
      </c>
      <c r="C429" t="inlineStr">
        <is>
          <t>Brotinho</t>
        </is>
      </c>
      <c r="D429" t="inlineStr">
        <is>
          <t>Loja (Retirada)</t>
        </is>
      </c>
      <c r="E429" s="6" t="n"/>
    </row>
    <row r="430">
      <c r="A430" t="inlineStr">
        <is>
          <t>As Queridinhas Pizzas Doces</t>
        </is>
      </c>
      <c r="B430" t="inlineStr">
        <is>
          <t>Pizza Brigadeiro</t>
        </is>
      </c>
      <c r="C430" t="inlineStr">
        <is>
          <t>Brotinho</t>
        </is>
      </c>
      <c r="D430" t="inlineStr">
        <is>
          <t>Keeta</t>
        </is>
      </c>
      <c r="E430" s="6" t="n"/>
    </row>
    <row r="431">
      <c r="A431" t="inlineStr">
        <is>
          <t>As Queridinhas Pizzas Doces</t>
        </is>
      </c>
      <c r="B431" t="inlineStr">
        <is>
          <t>Pizza Brigadeiro</t>
        </is>
      </c>
      <c r="C431" t="inlineStr">
        <is>
          <t>Grande</t>
        </is>
      </c>
      <c r="D431" t="inlineStr">
        <is>
          <t>iFood</t>
        </is>
      </c>
      <c r="E431" s="6" t="n"/>
    </row>
    <row r="432">
      <c r="A432" t="inlineStr">
        <is>
          <t>As Queridinhas Pizzas Doces</t>
        </is>
      </c>
      <c r="B432" t="inlineStr">
        <is>
          <t>Pizza Brigadeiro</t>
        </is>
      </c>
      <c r="C432" t="inlineStr">
        <is>
          <t>Grande</t>
        </is>
      </c>
      <c r="D432" t="inlineStr">
        <is>
          <t>Loja (Retirada)</t>
        </is>
      </c>
      <c r="E432" s="6" t="n"/>
    </row>
    <row r="433">
      <c r="A433" t="inlineStr">
        <is>
          <t>As Queridinhas Pizzas Doces</t>
        </is>
      </c>
      <c r="B433" t="inlineStr">
        <is>
          <t>Pizza Brigadeiro</t>
        </is>
      </c>
      <c r="C433" t="inlineStr">
        <is>
          <t>Grande</t>
        </is>
      </c>
      <c r="D433" t="inlineStr">
        <is>
          <t>Keeta</t>
        </is>
      </c>
      <c r="E433" s="6" t="n"/>
    </row>
    <row r="434">
      <c r="A434" t="inlineStr">
        <is>
          <t>As Queridinhas Pizzas Doces</t>
        </is>
      </c>
      <c r="B434" t="inlineStr">
        <is>
          <t>Pizza Banana</t>
        </is>
      </c>
      <c r="C434" t="inlineStr">
        <is>
          <t>Brotinho</t>
        </is>
      </c>
      <c r="D434" t="inlineStr">
        <is>
          <t>iFood</t>
        </is>
      </c>
      <c r="E434" s="6" t="n">
        <v>43.9</v>
      </c>
    </row>
    <row r="435">
      <c r="A435" t="inlineStr">
        <is>
          <t>As Queridinhas Pizzas Doces</t>
        </is>
      </c>
      <c r="B435" t="inlineStr">
        <is>
          <t>Pizza Banana</t>
        </is>
      </c>
      <c r="C435" t="inlineStr">
        <is>
          <t>Brotinho</t>
        </is>
      </c>
      <c r="D435" t="inlineStr">
        <is>
          <t>Loja (Retirada)</t>
        </is>
      </c>
      <c r="E435" s="6" t="n"/>
    </row>
    <row r="436">
      <c r="A436" t="inlineStr">
        <is>
          <t>As Queridinhas Pizzas Doces</t>
        </is>
      </c>
      <c r="B436" t="inlineStr">
        <is>
          <t>Pizza Banana</t>
        </is>
      </c>
      <c r="C436" t="inlineStr">
        <is>
          <t>Brotinho</t>
        </is>
      </c>
      <c r="D436" t="inlineStr">
        <is>
          <t>Keeta</t>
        </is>
      </c>
      <c r="E436" s="6" t="n"/>
    </row>
    <row r="437">
      <c r="A437" t="inlineStr">
        <is>
          <t>As Queridinhas Pizzas Doces</t>
        </is>
      </c>
      <c r="B437" t="inlineStr">
        <is>
          <t>Pizza Banana</t>
        </is>
      </c>
      <c r="C437" t="inlineStr">
        <is>
          <t>Grande</t>
        </is>
      </c>
      <c r="D437" t="inlineStr">
        <is>
          <t>iFood</t>
        </is>
      </c>
      <c r="E437" s="6" t="n"/>
    </row>
    <row r="438">
      <c r="A438" t="inlineStr">
        <is>
          <t>As Queridinhas Pizzas Doces</t>
        </is>
      </c>
      <c r="B438" t="inlineStr">
        <is>
          <t>Pizza Banana</t>
        </is>
      </c>
      <c r="C438" t="inlineStr">
        <is>
          <t>Grande</t>
        </is>
      </c>
      <c r="D438" t="inlineStr">
        <is>
          <t>Loja (Retirada)</t>
        </is>
      </c>
      <c r="E438" s="6" t="n"/>
    </row>
    <row r="439">
      <c r="A439" t="inlineStr">
        <is>
          <t>As Queridinhas Pizzas Doces</t>
        </is>
      </c>
      <c r="B439" t="inlineStr">
        <is>
          <t>Pizza Banana</t>
        </is>
      </c>
      <c r="C439" t="inlineStr">
        <is>
          <t>Grande</t>
        </is>
      </c>
      <c r="D439" t="inlineStr">
        <is>
          <t>Keeta</t>
        </is>
      </c>
      <c r="E439" s="6" t="n"/>
    </row>
    <row r="440">
      <c r="A440" t="inlineStr">
        <is>
          <t>Incrível Sobremesa</t>
        </is>
      </c>
      <c r="B440" t="inlineStr">
        <is>
          <t>Torta Holandesa</t>
        </is>
      </c>
      <c r="C440" t="inlineStr">
        <is>
          <t>Único</t>
        </is>
      </c>
      <c r="D440" t="inlineStr">
        <is>
          <t>iFood</t>
        </is>
      </c>
      <c r="E440" s="6" t="n">
        <v>14.9</v>
      </c>
    </row>
    <row r="441">
      <c r="A441" t="inlineStr">
        <is>
          <t>Incrível Sobremesa</t>
        </is>
      </c>
      <c r="B441" t="inlineStr">
        <is>
          <t>Torta Holandesa</t>
        </is>
      </c>
      <c r="C441" t="inlineStr">
        <is>
          <t>Único</t>
        </is>
      </c>
      <c r="D441" t="inlineStr">
        <is>
          <t>Loja (Retirada)</t>
        </is>
      </c>
      <c r="E441" s="6" t="n"/>
    </row>
    <row r="442">
      <c r="A442" t="inlineStr">
        <is>
          <t>Incrível Sobremesa</t>
        </is>
      </c>
      <c r="B442" t="inlineStr">
        <is>
          <t>Torta Holandesa</t>
        </is>
      </c>
      <c r="C442" t="inlineStr">
        <is>
          <t>Único</t>
        </is>
      </c>
      <c r="D442" t="inlineStr">
        <is>
          <t>Keeta</t>
        </is>
      </c>
      <c r="E442" s="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11" customWidth="1" min="3" max="3"/>
    <col width="13" customWidth="1" min="4" max="4"/>
    <col width="16" customWidth="1" min="5" max="5"/>
    <col width="13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6" customWidth="1" min="12" max="12"/>
  </cols>
  <sheetData>
    <row r="1">
      <c r="A1" s="5" t="inlineStr">
        <is>
          <t>Categoria</t>
        </is>
      </c>
      <c r="B1" s="5" t="inlineStr">
        <is>
          <t>Sabor</t>
        </is>
      </c>
      <c r="C1" s="5" t="inlineStr">
        <is>
          <t>Tamanho</t>
        </is>
      </c>
      <c r="D1" s="5" t="inlineStr">
        <is>
          <t>iFood</t>
        </is>
      </c>
      <c r="E1" s="5" t="inlineStr">
        <is>
          <t>Loja (Retirada)</t>
        </is>
      </c>
      <c r="F1" s="5" t="inlineStr">
        <is>
          <t>Keeta</t>
        </is>
      </c>
      <c r="G1" s="5" t="inlineStr">
        <is>
          <t>iFood vs Loja (R$)</t>
        </is>
      </c>
      <c r="H1" s="5" t="inlineStr">
        <is>
          <t>iFood vs Loja (%)</t>
        </is>
      </c>
      <c r="I1" s="5" t="inlineStr">
        <is>
          <t>Keeta vs Loja (R$)</t>
        </is>
      </c>
      <c r="J1" s="5" t="inlineStr">
        <is>
          <t>Keeta vs Loja (%)</t>
        </is>
      </c>
      <c r="K1" s="5" t="inlineStr">
        <is>
          <t>Maior canal</t>
        </is>
      </c>
      <c r="L1" s="5" t="inlineStr">
        <is>
          <t>Menor canal</t>
        </is>
      </c>
    </row>
    <row r="2">
      <c r="A2" t="inlineStr">
        <is>
          <t>Cabe no seu bolso!!!</t>
        </is>
      </c>
      <c r="B2" t="inlineStr">
        <is>
          <t>Atum especial com mussarela</t>
        </is>
      </c>
      <c r="C2" t="inlineStr">
        <is>
          <t>Brotinho</t>
        </is>
      </c>
      <c r="D2" s="6">
        <f>SUMIFS(Dados!$E:$E,Dados!$B:$B,$B2,Dados!$C:$C,$C2,Dados!$D:$D,"iFood")</f>
        <v/>
      </c>
      <c r="E2" s="6">
        <f>SUMIFS(Dados!$E:$E,Dados!$B:$B,$B2,Dados!$C:$C,$C2,Dados!$D:$D,"Loja (Retirada)")</f>
        <v/>
      </c>
      <c r="F2" s="6">
        <f>SUMIFS(Dados!$E:$E,Dados!$B:$B,$B2,Dados!$C:$C,$C2,Dados!$D:$D,"Keeta")</f>
        <v/>
      </c>
      <c r="G2" s="6">
        <f>IFERROR(IF(E2=0,"",D2-E2),"")</f>
        <v/>
      </c>
      <c r="H2" s="7">
        <f>IFERROR(IF(E2=0,"",(D2-E2)/E2),"")</f>
        <v/>
      </c>
      <c r="I2" s="6">
        <f>IFERROR(IF(E2=0,"",F2-E2),"")</f>
        <v/>
      </c>
      <c r="J2" s="7">
        <f>IFERROR(IF(E2=0,"",(F2-E2)/E2),"")</f>
        <v/>
      </c>
      <c r="K2">
        <f>IFERROR(INDEX($D$1:$F$1,MATCH(MAX(D2:F2),D2:F2,0)),"")</f>
        <v/>
      </c>
      <c r="L2">
        <f>IFERROR(INDEX($D$1:$F$1,MATCH(MIN(IF(D2:F2&gt;0,D2:F2)),D2:F2,0)),"")</f>
        <v/>
      </c>
    </row>
    <row r="3">
      <c r="A3" t="inlineStr">
        <is>
          <t>Cabe no seu bolso!!!</t>
        </is>
      </c>
      <c r="B3" t="inlineStr">
        <is>
          <t>Atum especial com mussarela</t>
        </is>
      </c>
      <c r="C3" t="inlineStr">
        <is>
          <t>Grande</t>
        </is>
      </c>
      <c r="D3" s="6">
        <f>SUMIFS(Dados!$E:$E,Dados!$B:$B,$B3,Dados!$C:$C,$C3,Dados!$D:$D,"iFood")</f>
        <v/>
      </c>
      <c r="E3" s="6">
        <f>SUMIFS(Dados!$E:$E,Dados!$B:$B,$B3,Dados!$C:$C,$C3,Dados!$D:$D,"Loja (Retirada)")</f>
        <v/>
      </c>
      <c r="F3" s="6">
        <f>SUMIFS(Dados!$E:$E,Dados!$B:$B,$B3,Dados!$C:$C,$C3,Dados!$D:$D,"Keeta")</f>
        <v/>
      </c>
      <c r="G3" s="6">
        <f>IFERROR(IF(E3=0,"",D3-E3),"")</f>
        <v/>
      </c>
      <c r="H3" s="7">
        <f>IFERROR(IF(E3=0,"",(D3-E3)/E3),"")</f>
        <v/>
      </c>
      <c r="I3" s="6">
        <f>IFERROR(IF(E3=0,"",F3-E3),"")</f>
        <v/>
      </c>
      <c r="J3" s="7">
        <f>IFERROR(IF(E3=0,"",(F3-E3)/E3),"")</f>
        <v/>
      </c>
      <c r="K3">
        <f>IFERROR(INDEX($D$1:$F$1,MATCH(MAX(D3:F3),D3:F3,0)),"")</f>
        <v/>
      </c>
      <c r="L3">
        <f>IFERROR(INDEX($D$1:$F$1,MATCH(MIN(IF(D3:F3&gt;0,D3:F3)),D3:F3,0)),"")</f>
        <v/>
      </c>
    </row>
    <row r="4">
      <c r="A4" t="inlineStr">
        <is>
          <t>Cabe no seu bolso!!!</t>
        </is>
      </c>
      <c r="B4" t="inlineStr">
        <is>
          <t>Atum ralado com mussarela</t>
        </is>
      </c>
      <c r="C4" t="inlineStr">
        <is>
          <t>Brotinho</t>
        </is>
      </c>
      <c r="D4" s="6">
        <f>SUMIFS(Dados!$E:$E,Dados!$B:$B,$B4,Dados!$C:$C,$C4,Dados!$D:$D,"iFood")</f>
        <v/>
      </c>
      <c r="E4" s="6">
        <f>SUMIFS(Dados!$E:$E,Dados!$B:$B,$B4,Dados!$C:$C,$C4,Dados!$D:$D,"Loja (Retirada)")</f>
        <v/>
      </c>
      <c r="F4" s="6">
        <f>SUMIFS(Dados!$E:$E,Dados!$B:$B,$B4,Dados!$C:$C,$C4,Dados!$D:$D,"Keeta")</f>
        <v/>
      </c>
      <c r="G4" s="6">
        <f>IFERROR(IF(E4=0,"",D4-E4),"")</f>
        <v/>
      </c>
      <c r="H4" s="7">
        <f>IFERROR(IF(E4=0,"",(D4-E4)/E4),"")</f>
        <v/>
      </c>
      <c r="I4" s="6">
        <f>IFERROR(IF(E4=0,"",F4-E4),"")</f>
        <v/>
      </c>
      <c r="J4" s="7">
        <f>IFERROR(IF(E4=0,"",(F4-E4)/E4),"")</f>
        <v/>
      </c>
      <c r="K4">
        <f>IFERROR(INDEX($D$1:$F$1,MATCH(MAX(D4:F4),D4:F4,0)),"")</f>
        <v/>
      </c>
      <c r="L4">
        <f>IFERROR(INDEX($D$1:$F$1,MATCH(MIN(IF(D4:F4&gt;0,D4:F4)),D4:F4,0)),"")</f>
        <v/>
      </c>
    </row>
    <row r="5">
      <c r="A5" t="inlineStr">
        <is>
          <t>Cabe no seu bolso!!!</t>
        </is>
      </c>
      <c r="B5" t="inlineStr">
        <is>
          <t>Atum ralado com mussarela</t>
        </is>
      </c>
      <c r="C5" t="inlineStr">
        <is>
          <t>Grande</t>
        </is>
      </c>
      <c r="D5" s="6">
        <f>SUMIFS(Dados!$E:$E,Dados!$B:$B,$B5,Dados!$C:$C,$C5,Dados!$D:$D,"iFood")</f>
        <v/>
      </c>
      <c r="E5" s="6">
        <f>SUMIFS(Dados!$E:$E,Dados!$B:$B,$B5,Dados!$C:$C,$C5,Dados!$D:$D,"Loja (Retirada)")</f>
        <v/>
      </c>
      <c r="F5" s="6">
        <f>SUMIFS(Dados!$E:$E,Dados!$B:$B,$B5,Dados!$C:$C,$C5,Dados!$D:$D,"Keeta")</f>
        <v/>
      </c>
      <c r="G5" s="6">
        <f>IFERROR(IF(E5=0,"",D5-E5),"")</f>
        <v/>
      </c>
      <c r="H5" s="7">
        <f>IFERROR(IF(E5=0,"",(D5-E5)/E5),"")</f>
        <v/>
      </c>
      <c r="I5" s="6">
        <f>IFERROR(IF(E5=0,"",F5-E5),"")</f>
        <v/>
      </c>
      <c r="J5" s="7">
        <f>IFERROR(IF(E5=0,"",(F5-E5)/E5),"")</f>
        <v/>
      </c>
      <c r="K5">
        <f>IFERROR(INDEX($D$1:$F$1,MATCH(MAX(D5:F5),D5:F5,0)),"")</f>
        <v/>
      </c>
      <c r="L5">
        <f>IFERROR(INDEX($D$1:$F$1,MATCH(MIN(IF(D5:F5&gt;0,D5:F5)),D5:F5,0)),"")</f>
        <v/>
      </c>
    </row>
    <row r="6">
      <c r="A6" t="inlineStr">
        <is>
          <t>Cabe no seu bolso!!!</t>
        </is>
      </c>
      <c r="B6" t="inlineStr">
        <is>
          <t>Pizza Atum</t>
        </is>
      </c>
      <c r="C6" t="inlineStr">
        <is>
          <t>Brotinho</t>
        </is>
      </c>
      <c r="D6" s="6">
        <f>SUMIFS(Dados!$E:$E,Dados!$B:$B,$B6,Dados!$C:$C,$C6,Dados!$D:$D,"iFood")</f>
        <v/>
      </c>
      <c r="E6" s="6">
        <f>SUMIFS(Dados!$E:$E,Dados!$B:$B,$B6,Dados!$C:$C,$C6,Dados!$D:$D,"Loja (Retirada)")</f>
        <v/>
      </c>
      <c r="F6" s="6">
        <f>SUMIFS(Dados!$E:$E,Dados!$B:$B,$B6,Dados!$C:$C,$C6,Dados!$D:$D,"Keeta")</f>
        <v/>
      </c>
      <c r="G6" s="6">
        <f>IFERROR(IF(E6=0,"",D6-E6),"")</f>
        <v/>
      </c>
      <c r="H6" s="7">
        <f>IFERROR(IF(E6=0,"",(D6-E6)/E6),"")</f>
        <v/>
      </c>
      <c r="I6" s="6">
        <f>IFERROR(IF(E6=0,"",F6-E6),"")</f>
        <v/>
      </c>
      <c r="J6" s="7">
        <f>IFERROR(IF(E6=0,"",(F6-E6)/E6),"")</f>
        <v/>
      </c>
      <c r="K6">
        <f>IFERROR(INDEX($D$1:$F$1,MATCH(MAX(D6:F6),D6:F6,0)),"")</f>
        <v/>
      </c>
      <c r="L6">
        <f>IFERROR(INDEX($D$1:$F$1,MATCH(MIN(IF(D6:F6&gt;0,D6:F6)),D6:F6,0)),"")</f>
        <v/>
      </c>
    </row>
    <row r="7">
      <c r="A7" t="inlineStr">
        <is>
          <t>Cabe no seu bolso!!!</t>
        </is>
      </c>
      <c r="B7" t="inlineStr">
        <is>
          <t>Pizza Atum</t>
        </is>
      </c>
      <c r="C7" t="inlineStr">
        <is>
          <t>Grande</t>
        </is>
      </c>
      <c r="D7" s="6">
        <f>SUMIFS(Dados!$E:$E,Dados!$B:$B,$B7,Dados!$C:$C,$C7,Dados!$D:$D,"iFood")</f>
        <v/>
      </c>
      <c r="E7" s="6">
        <f>SUMIFS(Dados!$E:$E,Dados!$B:$B,$B7,Dados!$C:$C,$C7,Dados!$D:$D,"Loja (Retirada)")</f>
        <v/>
      </c>
      <c r="F7" s="6">
        <f>SUMIFS(Dados!$E:$E,Dados!$B:$B,$B7,Dados!$C:$C,$C7,Dados!$D:$D,"Keeta")</f>
        <v/>
      </c>
      <c r="G7" s="6">
        <f>IFERROR(IF(E7=0,"",D7-E7),"")</f>
        <v/>
      </c>
      <c r="H7" s="7">
        <f>IFERROR(IF(E7=0,"",(D7-E7)/E7),"")</f>
        <v/>
      </c>
      <c r="I7" s="6">
        <f>IFERROR(IF(E7=0,"",F7-E7),"")</f>
        <v/>
      </c>
      <c r="J7" s="7">
        <f>IFERROR(IF(E7=0,"",(F7-E7)/E7),"")</f>
        <v/>
      </c>
      <c r="K7">
        <f>IFERROR(INDEX($D$1:$F$1,MATCH(MAX(D7:F7),D7:F7,0)),"")</f>
        <v/>
      </c>
      <c r="L7">
        <f>IFERROR(INDEX($D$1:$F$1,MATCH(MIN(IF(D7:F7&gt;0,D7:F7)),D7:F7,0)),"")</f>
        <v/>
      </c>
    </row>
    <row r="8">
      <c r="A8" t="inlineStr">
        <is>
          <t>Cabe no seu bolso!!!</t>
        </is>
      </c>
      <c r="B8" t="inlineStr">
        <is>
          <t>Pizza Lombo</t>
        </is>
      </c>
      <c r="C8" t="inlineStr">
        <is>
          <t>Brotinho</t>
        </is>
      </c>
      <c r="D8" s="6">
        <f>SUMIFS(Dados!$E:$E,Dados!$B:$B,$B8,Dados!$C:$C,$C8,Dados!$D:$D,"iFood")</f>
        <v/>
      </c>
      <c r="E8" s="6">
        <f>SUMIFS(Dados!$E:$E,Dados!$B:$B,$B8,Dados!$C:$C,$C8,Dados!$D:$D,"Loja (Retirada)")</f>
        <v/>
      </c>
      <c r="F8" s="6">
        <f>SUMIFS(Dados!$E:$E,Dados!$B:$B,$B8,Dados!$C:$C,$C8,Dados!$D:$D,"Keeta")</f>
        <v/>
      </c>
      <c r="G8" s="6">
        <f>IFERROR(IF(E8=0,"",D8-E8),"")</f>
        <v/>
      </c>
      <c r="H8" s="7">
        <f>IFERROR(IF(E8=0,"",(D8-E8)/E8),"")</f>
        <v/>
      </c>
      <c r="I8" s="6">
        <f>IFERROR(IF(E8=0,"",F8-E8),"")</f>
        <v/>
      </c>
      <c r="J8" s="7">
        <f>IFERROR(IF(E8=0,"",(F8-E8)/E8),"")</f>
        <v/>
      </c>
      <c r="K8">
        <f>IFERROR(INDEX($D$1:$F$1,MATCH(MAX(D8:F8),D8:F8,0)),"")</f>
        <v/>
      </c>
      <c r="L8">
        <f>IFERROR(INDEX($D$1:$F$1,MATCH(MIN(IF(D8:F8&gt;0,D8:F8)),D8:F8,0)),"")</f>
        <v/>
      </c>
    </row>
    <row r="9">
      <c r="A9" t="inlineStr">
        <is>
          <t>Cabe no seu bolso!!!</t>
        </is>
      </c>
      <c r="B9" t="inlineStr">
        <is>
          <t>Pizza Lombo</t>
        </is>
      </c>
      <c r="C9" t="inlineStr">
        <is>
          <t>Grande</t>
        </is>
      </c>
      <c r="D9" s="6">
        <f>SUMIFS(Dados!$E:$E,Dados!$B:$B,$B9,Dados!$C:$C,$C9,Dados!$D:$D,"iFood")</f>
        <v/>
      </c>
      <c r="E9" s="6">
        <f>SUMIFS(Dados!$E:$E,Dados!$B:$B,$B9,Dados!$C:$C,$C9,Dados!$D:$D,"Loja (Retirada)")</f>
        <v/>
      </c>
      <c r="F9" s="6">
        <f>SUMIFS(Dados!$E:$E,Dados!$B:$B,$B9,Dados!$C:$C,$C9,Dados!$D:$D,"Keeta")</f>
        <v/>
      </c>
      <c r="G9" s="6">
        <f>IFERROR(IF(E9=0,"",D9-E9),"")</f>
        <v/>
      </c>
      <c r="H9" s="7">
        <f>IFERROR(IF(E9=0,"",(D9-E9)/E9),"")</f>
        <v/>
      </c>
      <c r="I9" s="6">
        <f>IFERROR(IF(E9=0,"",F9-E9),"")</f>
        <v/>
      </c>
      <c r="J9" s="7">
        <f>IFERROR(IF(E9=0,"",(F9-E9)/E9),"")</f>
        <v/>
      </c>
      <c r="K9">
        <f>IFERROR(INDEX($D$1:$F$1,MATCH(MAX(D9:F9),D9:F9,0)),"")</f>
        <v/>
      </c>
      <c r="L9">
        <f>IFERROR(INDEX($D$1:$F$1,MATCH(MIN(IF(D9:F9&gt;0,D9:F9)),D9:F9,0)),"")</f>
        <v/>
      </c>
    </row>
    <row r="10">
      <c r="A10" t="inlineStr">
        <is>
          <t>Cabe no seu bolso!!!</t>
        </is>
      </c>
      <c r="B10" t="inlineStr">
        <is>
          <t>Pizza Mussarela</t>
        </is>
      </c>
      <c r="C10" t="inlineStr">
        <is>
          <t>Brotinho</t>
        </is>
      </c>
      <c r="D10" s="6">
        <f>SUMIFS(Dados!$E:$E,Dados!$B:$B,$B10,Dados!$C:$C,$C10,Dados!$D:$D,"iFood")</f>
        <v/>
      </c>
      <c r="E10" s="6">
        <f>SUMIFS(Dados!$E:$E,Dados!$B:$B,$B10,Dados!$C:$C,$C10,Dados!$D:$D,"Loja (Retirada)")</f>
        <v/>
      </c>
      <c r="F10" s="6">
        <f>SUMIFS(Dados!$E:$E,Dados!$B:$B,$B10,Dados!$C:$C,$C10,Dados!$D:$D,"Keeta")</f>
        <v/>
      </c>
      <c r="G10" s="6">
        <f>IFERROR(IF(E10=0,"",D10-E10),"")</f>
        <v/>
      </c>
      <c r="H10" s="7">
        <f>IFERROR(IF(E10=0,"",(D10-E10)/E10),"")</f>
        <v/>
      </c>
      <c r="I10" s="6">
        <f>IFERROR(IF(E10=0,"",F10-E10),"")</f>
        <v/>
      </c>
      <c r="J10" s="7">
        <f>IFERROR(IF(E10=0,"",(F10-E10)/E10),"")</f>
        <v/>
      </c>
      <c r="K10">
        <f>IFERROR(INDEX($D$1:$F$1,MATCH(MAX(D10:F10),D10:F10,0)),"")</f>
        <v/>
      </c>
      <c r="L10">
        <f>IFERROR(INDEX($D$1:$F$1,MATCH(MIN(IF(D10:F10&gt;0,D10:F10)),D10:F10,0)),"")</f>
        <v/>
      </c>
    </row>
    <row r="11">
      <c r="A11" t="inlineStr">
        <is>
          <t>Cabe no seu bolso!!!</t>
        </is>
      </c>
      <c r="B11" t="inlineStr">
        <is>
          <t>Pizza Mussarela</t>
        </is>
      </c>
      <c r="C11" t="inlineStr">
        <is>
          <t>Grande</t>
        </is>
      </c>
      <c r="D11" s="6">
        <f>SUMIFS(Dados!$E:$E,Dados!$B:$B,$B11,Dados!$C:$C,$C11,Dados!$D:$D,"iFood")</f>
        <v/>
      </c>
      <c r="E11" s="6">
        <f>SUMIFS(Dados!$E:$E,Dados!$B:$B,$B11,Dados!$C:$C,$C11,Dados!$D:$D,"Loja (Retirada)")</f>
        <v/>
      </c>
      <c r="F11" s="6">
        <f>SUMIFS(Dados!$E:$E,Dados!$B:$B,$B11,Dados!$C:$C,$C11,Dados!$D:$D,"Keeta")</f>
        <v/>
      </c>
      <c r="G11" s="6">
        <f>IFERROR(IF(E11=0,"",D11-E11),"")</f>
        <v/>
      </c>
      <c r="H11" s="7">
        <f>IFERROR(IF(E11=0,"",(D11-E11)/E11),"")</f>
        <v/>
      </c>
      <c r="I11" s="6">
        <f>IFERROR(IF(E11=0,"",F11-E11),"")</f>
        <v/>
      </c>
      <c r="J11" s="7">
        <f>IFERROR(IF(E11=0,"",(F11-E11)/E11),"")</f>
        <v/>
      </c>
      <c r="K11">
        <f>IFERROR(INDEX($D$1:$F$1,MATCH(MAX(D11:F11),D11:F11,0)),"")</f>
        <v/>
      </c>
      <c r="L11">
        <f>IFERROR(INDEX($D$1:$F$1,MATCH(MIN(IF(D11:F11&gt;0,D11:F11)),D11:F11,0)),"")</f>
        <v/>
      </c>
    </row>
    <row r="12">
      <c r="A12" t="inlineStr">
        <is>
          <t>Imperdíveis Pizzas salgadas</t>
        </is>
      </c>
      <c r="B12" t="inlineStr">
        <is>
          <t>Pizza Vegetariana</t>
        </is>
      </c>
      <c r="C12" t="inlineStr">
        <is>
          <t>Brotinho</t>
        </is>
      </c>
      <c r="D12" s="6">
        <f>SUMIFS(Dados!$E:$E,Dados!$B:$B,$B12,Dados!$C:$C,$C12,Dados!$D:$D,"iFood")</f>
        <v/>
      </c>
      <c r="E12" s="6">
        <f>SUMIFS(Dados!$E:$E,Dados!$B:$B,$B12,Dados!$C:$C,$C12,Dados!$D:$D,"Loja (Retirada)")</f>
        <v/>
      </c>
      <c r="F12" s="6">
        <f>SUMIFS(Dados!$E:$E,Dados!$B:$B,$B12,Dados!$C:$C,$C12,Dados!$D:$D,"Keeta")</f>
        <v/>
      </c>
      <c r="G12" s="6">
        <f>IFERROR(IF(E12=0,"",D12-E12),"")</f>
        <v/>
      </c>
      <c r="H12" s="7">
        <f>IFERROR(IF(E12=0,"",(D12-E12)/E12),"")</f>
        <v/>
      </c>
      <c r="I12" s="6">
        <f>IFERROR(IF(E12=0,"",F12-E12),"")</f>
        <v/>
      </c>
      <c r="J12" s="7">
        <f>IFERROR(IF(E12=0,"",(F12-E12)/E12),"")</f>
        <v/>
      </c>
      <c r="K12">
        <f>IFERROR(INDEX($D$1:$F$1,MATCH(MAX(D12:F12),D12:F12,0)),"")</f>
        <v/>
      </c>
      <c r="L12">
        <f>IFERROR(INDEX($D$1:$F$1,MATCH(MIN(IF(D12:F12&gt;0,D12:F12)),D12:F12,0)),"")</f>
        <v/>
      </c>
    </row>
    <row r="13">
      <c r="A13" t="inlineStr">
        <is>
          <t>Imperdíveis Pizzas salgadas</t>
        </is>
      </c>
      <c r="B13" t="inlineStr">
        <is>
          <t>Pizza Vegetariana</t>
        </is>
      </c>
      <c r="C13" t="inlineStr">
        <is>
          <t>Grande</t>
        </is>
      </c>
      <c r="D13" s="6">
        <f>SUMIFS(Dados!$E:$E,Dados!$B:$B,$B13,Dados!$C:$C,$C13,Dados!$D:$D,"iFood")</f>
        <v/>
      </c>
      <c r="E13" s="6">
        <f>SUMIFS(Dados!$E:$E,Dados!$B:$B,$B13,Dados!$C:$C,$C13,Dados!$D:$D,"Loja (Retirada)")</f>
        <v/>
      </c>
      <c r="F13" s="6">
        <f>SUMIFS(Dados!$E:$E,Dados!$B:$B,$B13,Dados!$C:$C,$C13,Dados!$D:$D,"Keeta")</f>
        <v/>
      </c>
      <c r="G13" s="6">
        <f>IFERROR(IF(E13=0,"",D13-E13),"")</f>
        <v/>
      </c>
      <c r="H13" s="7">
        <f>IFERROR(IF(E13=0,"",(D13-E13)/E13),"")</f>
        <v/>
      </c>
      <c r="I13" s="6">
        <f>IFERROR(IF(E13=0,"",F13-E13),"")</f>
        <v/>
      </c>
      <c r="J13" s="7">
        <f>IFERROR(IF(E13=0,"",(F13-E13)/E13),"")</f>
        <v/>
      </c>
      <c r="K13">
        <f>IFERROR(INDEX($D$1:$F$1,MATCH(MAX(D13:F13),D13:F13,0)),"")</f>
        <v/>
      </c>
      <c r="L13">
        <f>IFERROR(INDEX($D$1:$F$1,MATCH(MIN(IF(D13:F13&gt;0,D13:F13)),D13:F13,0)),"")</f>
        <v/>
      </c>
    </row>
    <row r="14">
      <c r="A14" t="inlineStr">
        <is>
          <t>Imperdíveis Pizzas salgadas</t>
        </is>
      </c>
      <c r="B14" t="inlineStr">
        <is>
          <t>Pizza Toscana</t>
        </is>
      </c>
      <c r="C14" t="inlineStr">
        <is>
          <t>Brotinho</t>
        </is>
      </c>
      <c r="D14" s="6">
        <f>SUMIFS(Dados!$E:$E,Dados!$B:$B,$B14,Dados!$C:$C,$C14,Dados!$D:$D,"iFood")</f>
        <v/>
      </c>
      <c r="E14" s="6">
        <f>SUMIFS(Dados!$E:$E,Dados!$B:$B,$B14,Dados!$C:$C,$C14,Dados!$D:$D,"Loja (Retirada)")</f>
        <v/>
      </c>
      <c r="F14" s="6">
        <f>SUMIFS(Dados!$E:$E,Dados!$B:$B,$B14,Dados!$C:$C,$C14,Dados!$D:$D,"Keeta")</f>
        <v/>
      </c>
      <c r="G14" s="6">
        <f>IFERROR(IF(E14=0,"",D14-E14),"")</f>
        <v/>
      </c>
      <c r="H14" s="7">
        <f>IFERROR(IF(E14=0,"",(D14-E14)/E14),"")</f>
        <v/>
      </c>
      <c r="I14" s="6">
        <f>IFERROR(IF(E14=0,"",F14-E14),"")</f>
        <v/>
      </c>
      <c r="J14" s="7">
        <f>IFERROR(IF(E14=0,"",(F14-E14)/E14),"")</f>
        <v/>
      </c>
      <c r="K14">
        <f>IFERROR(INDEX($D$1:$F$1,MATCH(MAX(D14:F14),D14:F14,0)),"")</f>
        <v/>
      </c>
      <c r="L14">
        <f>IFERROR(INDEX($D$1:$F$1,MATCH(MIN(IF(D14:F14&gt;0,D14:F14)),D14:F14,0)),"")</f>
        <v/>
      </c>
    </row>
    <row r="15">
      <c r="A15" t="inlineStr">
        <is>
          <t>Imperdíveis Pizzas salgadas</t>
        </is>
      </c>
      <c r="B15" t="inlineStr">
        <is>
          <t>Pizza Toscana</t>
        </is>
      </c>
      <c r="C15" t="inlineStr">
        <is>
          <t>Grande</t>
        </is>
      </c>
      <c r="D15" s="6">
        <f>SUMIFS(Dados!$E:$E,Dados!$B:$B,$B15,Dados!$C:$C,$C15,Dados!$D:$D,"iFood")</f>
        <v/>
      </c>
      <c r="E15" s="6">
        <f>SUMIFS(Dados!$E:$E,Dados!$B:$B,$B15,Dados!$C:$C,$C15,Dados!$D:$D,"Loja (Retirada)")</f>
        <v/>
      </c>
      <c r="F15" s="6">
        <f>SUMIFS(Dados!$E:$E,Dados!$B:$B,$B15,Dados!$C:$C,$C15,Dados!$D:$D,"Keeta")</f>
        <v/>
      </c>
      <c r="G15" s="6">
        <f>IFERROR(IF(E15=0,"",D15-E15),"")</f>
        <v/>
      </c>
      <c r="H15" s="7">
        <f>IFERROR(IF(E15=0,"",(D15-E15)/E15),"")</f>
        <v/>
      </c>
      <c r="I15" s="6">
        <f>IFERROR(IF(E15=0,"",F15-E15),"")</f>
        <v/>
      </c>
      <c r="J15" s="7">
        <f>IFERROR(IF(E15=0,"",(F15-E15)/E15),"")</f>
        <v/>
      </c>
      <c r="K15">
        <f>IFERROR(INDEX($D$1:$F$1,MATCH(MAX(D15:F15),D15:F15,0)),"")</f>
        <v/>
      </c>
      <c r="L15">
        <f>IFERROR(INDEX($D$1:$F$1,MATCH(MIN(IF(D15:F15&gt;0,D15:F15)),D15:F15,0)),"")</f>
        <v/>
      </c>
    </row>
    <row r="16">
      <c r="A16" t="inlineStr">
        <is>
          <t>Imperdíveis Pizzas salgadas</t>
        </is>
      </c>
      <c r="B16" t="inlineStr">
        <is>
          <t>Pizza Tomate Seco</t>
        </is>
      </c>
      <c r="C16" t="inlineStr">
        <is>
          <t>Brotinho</t>
        </is>
      </c>
      <c r="D16" s="6">
        <f>SUMIFS(Dados!$E:$E,Dados!$B:$B,$B16,Dados!$C:$C,$C16,Dados!$D:$D,"iFood")</f>
        <v/>
      </c>
      <c r="E16" s="6">
        <f>SUMIFS(Dados!$E:$E,Dados!$B:$B,$B16,Dados!$C:$C,$C16,Dados!$D:$D,"Loja (Retirada)")</f>
        <v/>
      </c>
      <c r="F16" s="6">
        <f>SUMIFS(Dados!$E:$E,Dados!$B:$B,$B16,Dados!$C:$C,$C16,Dados!$D:$D,"Keeta")</f>
        <v/>
      </c>
      <c r="G16" s="6">
        <f>IFERROR(IF(E16=0,"",D16-E16),"")</f>
        <v/>
      </c>
      <c r="H16" s="7">
        <f>IFERROR(IF(E16=0,"",(D16-E16)/E16),"")</f>
        <v/>
      </c>
      <c r="I16" s="6">
        <f>IFERROR(IF(E16=0,"",F16-E16),"")</f>
        <v/>
      </c>
      <c r="J16" s="7">
        <f>IFERROR(IF(E16=0,"",(F16-E16)/E16),"")</f>
        <v/>
      </c>
      <c r="K16">
        <f>IFERROR(INDEX($D$1:$F$1,MATCH(MAX(D16:F16),D16:F16,0)),"")</f>
        <v/>
      </c>
      <c r="L16">
        <f>IFERROR(INDEX($D$1:$F$1,MATCH(MIN(IF(D16:F16&gt;0,D16:F16)),D16:F16,0)),"")</f>
        <v/>
      </c>
    </row>
    <row r="17">
      <c r="A17" t="inlineStr">
        <is>
          <t>Imperdíveis Pizzas salgadas</t>
        </is>
      </c>
      <c r="B17" t="inlineStr">
        <is>
          <t>Pizza Tomate Seco</t>
        </is>
      </c>
      <c r="C17" t="inlineStr">
        <is>
          <t>Grande</t>
        </is>
      </c>
      <c r="D17" s="6">
        <f>SUMIFS(Dados!$E:$E,Dados!$B:$B,$B17,Dados!$C:$C,$C17,Dados!$D:$D,"iFood")</f>
        <v/>
      </c>
      <c r="E17" s="6">
        <f>SUMIFS(Dados!$E:$E,Dados!$B:$B,$B17,Dados!$C:$C,$C17,Dados!$D:$D,"Loja (Retirada)")</f>
        <v/>
      </c>
      <c r="F17" s="6">
        <f>SUMIFS(Dados!$E:$E,Dados!$B:$B,$B17,Dados!$C:$C,$C17,Dados!$D:$D,"Keeta")</f>
        <v/>
      </c>
      <c r="G17" s="6">
        <f>IFERROR(IF(E17=0,"",D17-E17),"")</f>
        <v/>
      </c>
      <c r="H17" s="7">
        <f>IFERROR(IF(E17=0,"",(D17-E17)/E17),"")</f>
        <v/>
      </c>
      <c r="I17" s="6">
        <f>IFERROR(IF(E17=0,"",F17-E17),"")</f>
        <v/>
      </c>
      <c r="J17" s="7">
        <f>IFERROR(IF(E17=0,"",(F17-E17)/E17),"")</f>
        <v/>
      </c>
      <c r="K17">
        <f>IFERROR(INDEX($D$1:$F$1,MATCH(MAX(D17:F17),D17:F17,0)),"")</f>
        <v/>
      </c>
      <c r="L17">
        <f>IFERROR(INDEX($D$1:$F$1,MATCH(MIN(IF(D17:F17&gt;0,D17:F17)),D17:F17,0)),"")</f>
        <v/>
      </c>
    </row>
    <row r="18">
      <c r="A18" t="inlineStr">
        <is>
          <t>Imperdíveis Pizzas salgadas</t>
        </is>
      </c>
      <c r="B18" t="inlineStr">
        <is>
          <t>Pizza Strogonoff</t>
        </is>
      </c>
      <c r="C18" t="inlineStr">
        <is>
          <t>Brotinho</t>
        </is>
      </c>
      <c r="D18" s="6">
        <f>SUMIFS(Dados!$E:$E,Dados!$B:$B,$B18,Dados!$C:$C,$C18,Dados!$D:$D,"iFood")</f>
        <v/>
      </c>
      <c r="E18" s="6">
        <f>SUMIFS(Dados!$E:$E,Dados!$B:$B,$B18,Dados!$C:$C,$C18,Dados!$D:$D,"Loja (Retirada)")</f>
        <v/>
      </c>
      <c r="F18" s="6">
        <f>SUMIFS(Dados!$E:$E,Dados!$B:$B,$B18,Dados!$C:$C,$C18,Dados!$D:$D,"Keeta")</f>
        <v/>
      </c>
      <c r="G18" s="6">
        <f>IFERROR(IF(E18=0,"",D18-E18),"")</f>
        <v/>
      </c>
      <c r="H18" s="7">
        <f>IFERROR(IF(E18=0,"",(D18-E18)/E18),"")</f>
        <v/>
      </c>
      <c r="I18" s="6">
        <f>IFERROR(IF(E18=0,"",F18-E18),"")</f>
        <v/>
      </c>
      <c r="J18" s="7">
        <f>IFERROR(IF(E18=0,"",(F18-E18)/E18),"")</f>
        <v/>
      </c>
      <c r="K18">
        <f>IFERROR(INDEX($D$1:$F$1,MATCH(MAX(D18:F18),D18:F18,0)),"")</f>
        <v/>
      </c>
      <c r="L18">
        <f>IFERROR(INDEX($D$1:$F$1,MATCH(MIN(IF(D18:F18&gt;0,D18:F18)),D18:F18,0)),"")</f>
        <v/>
      </c>
    </row>
    <row r="19">
      <c r="A19" t="inlineStr">
        <is>
          <t>Imperdíveis Pizzas salgadas</t>
        </is>
      </c>
      <c r="B19" t="inlineStr">
        <is>
          <t>Pizza Strogonoff</t>
        </is>
      </c>
      <c r="C19" t="inlineStr">
        <is>
          <t>Grande</t>
        </is>
      </c>
      <c r="D19" s="6">
        <f>SUMIFS(Dados!$E:$E,Dados!$B:$B,$B19,Dados!$C:$C,$C19,Dados!$D:$D,"iFood")</f>
        <v/>
      </c>
      <c r="E19" s="6">
        <f>SUMIFS(Dados!$E:$E,Dados!$B:$B,$B19,Dados!$C:$C,$C19,Dados!$D:$D,"Loja (Retirada)")</f>
        <v/>
      </c>
      <c r="F19" s="6">
        <f>SUMIFS(Dados!$E:$E,Dados!$B:$B,$B19,Dados!$C:$C,$C19,Dados!$D:$D,"Keeta")</f>
        <v/>
      </c>
      <c r="G19" s="6">
        <f>IFERROR(IF(E19=0,"",D19-E19),"")</f>
        <v/>
      </c>
      <c r="H19" s="7">
        <f>IFERROR(IF(E19=0,"",(D19-E19)/E19),"")</f>
        <v/>
      </c>
      <c r="I19" s="6">
        <f>IFERROR(IF(E19=0,"",F19-E19),"")</f>
        <v/>
      </c>
      <c r="J19" s="7">
        <f>IFERROR(IF(E19=0,"",(F19-E19)/E19),"")</f>
        <v/>
      </c>
      <c r="K19">
        <f>IFERROR(INDEX($D$1:$F$1,MATCH(MAX(D19:F19),D19:F19,0)),"")</f>
        <v/>
      </c>
      <c r="L19">
        <f>IFERROR(INDEX($D$1:$F$1,MATCH(MIN(IF(D19:F19&gt;0,D19:F19)),D19:F19,0)),"")</f>
        <v/>
      </c>
    </row>
    <row r="20">
      <c r="A20" t="inlineStr">
        <is>
          <t>Imperdíveis Pizzas salgadas</t>
        </is>
      </c>
      <c r="B20" t="inlineStr">
        <is>
          <t>Pizza Siciliana</t>
        </is>
      </c>
      <c r="C20" t="inlineStr">
        <is>
          <t>Brotinho</t>
        </is>
      </c>
      <c r="D20" s="6">
        <f>SUMIFS(Dados!$E:$E,Dados!$B:$B,$B20,Dados!$C:$C,$C20,Dados!$D:$D,"iFood")</f>
        <v/>
      </c>
      <c r="E20" s="6">
        <f>SUMIFS(Dados!$E:$E,Dados!$B:$B,$B20,Dados!$C:$C,$C20,Dados!$D:$D,"Loja (Retirada)")</f>
        <v/>
      </c>
      <c r="F20" s="6">
        <f>SUMIFS(Dados!$E:$E,Dados!$B:$B,$B20,Dados!$C:$C,$C20,Dados!$D:$D,"Keeta")</f>
        <v/>
      </c>
      <c r="G20" s="6">
        <f>IFERROR(IF(E20=0,"",D20-E20),"")</f>
        <v/>
      </c>
      <c r="H20" s="7">
        <f>IFERROR(IF(E20=0,"",(D20-E20)/E20),"")</f>
        <v/>
      </c>
      <c r="I20" s="6">
        <f>IFERROR(IF(E20=0,"",F20-E20),"")</f>
        <v/>
      </c>
      <c r="J20" s="7">
        <f>IFERROR(IF(E20=0,"",(F20-E20)/E20),"")</f>
        <v/>
      </c>
      <c r="K20">
        <f>IFERROR(INDEX($D$1:$F$1,MATCH(MAX(D20:F20),D20:F20,0)),"")</f>
        <v/>
      </c>
      <c r="L20">
        <f>IFERROR(INDEX($D$1:$F$1,MATCH(MIN(IF(D20:F20&gt;0,D20:F20)),D20:F20,0)),"")</f>
        <v/>
      </c>
    </row>
    <row r="21">
      <c r="A21" t="inlineStr">
        <is>
          <t>Imperdíveis Pizzas salgadas</t>
        </is>
      </c>
      <c r="B21" t="inlineStr">
        <is>
          <t>Pizza Siciliana</t>
        </is>
      </c>
      <c r="C21" t="inlineStr">
        <is>
          <t>Grande</t>
        </is>
      </c>
      <c r="D21" s="6">
        <f>SUMIFS(Dados!$E:$E,Dados!$B:$B,$B21,Dados!$C:$C,$C21,Dados!$D:$D,"iFood")</f>
        <v/>
      </c>
      <c r="E21" s="6">
        <f>SUMIFS(Dados!$E:$E,Dados!$B:$B,$B21,Dados!$C:$C,$C21,Dados!$D:$D,"Loja (Retirada)")</f>
        <v/>
      </c>
      <c r="F21" s="6">
        <f>SUMIFS(Dados!$E:$E,Dados!$B:$B,$B21,Dados!$C:$C,$C21,Dados!$D:$D,"Keeta")</f>
        <v/>
      </c>
      <c r="G21" s="6">
        <f>IFERROR(IF(E21=0,"",D21-E21),"")</f>
        <v/>
      </c>
      <c r="H21" s="7">
        <f>IFERROR(IF(E21=0,"",(D21-E21)/E21),"")</f>
        <v/>
      </c>
      <c r="I21" s="6">
        <f>IFERROR(IF(E21=0,"",F21-E21),"")</f>
        <v/>
      </c>
      <c r="J21" s="7">
        <f>IFERROR(IF(E21=0,"",(F21-E21)/E21),"")</f>
        <v/>
      </c>
      <c r="K21">
        <f>IFERROR(INDEX($D$1:$F$1,MATCH(MAX(D21:F21),D21:F21,0)),"")</f>
        <v/>
      </c>
      <c r="L21">
        <f>IFERROR(INDEX($D$1:$F$1,MATCH(MIN(IF(D21:F21&gt;0,D21:F21)),D21:F21,0)),"")</f>
        <v/>
      </c>
    </row>
    <row r="22">
      <c r="A22" t="inlineStr">
        <is>
          <t>Imperdíveis Pizzas salgadas</t>
        </is>
      </c>
      <c r="B22" t="inlineStr">
        <is>
          <t>Pizza Rúcula</t>
        </is>
      </c>
      <c r="C22" t="inlineStr">
        <is>
          <t>Brotinho</t>
        </is>
      </c>
      <c r="D22" s="6">
        <f>SUMIFS(Dados!$E:$E,Dados!$B:$B,$B22,Dados!$C:$C,$C22,Dados!$D:$D,"iFood")</f>
        <v/>
      </c>
      <c r="E22" s="6">
        <f>SUMIFS(Dados!$E:$E,Dados!$B:$B,$B22,Dados!$C:$C,$C22,Dados!$D:$D,"Loja (Retirada)")</f>
        <v/>
      </c>
      <c r="F22" s="6">
        <f>SUMIFS(Dados!$E:$E,Dados!$B:$B,$B22,Dados!$C:$C,$C22,Dados!$D:$D,"Keeta")</f>
        <v/>
      </c>
      <c r="G22" s="6">
        <f>IFERROR(IF(E22=0,"",D22-E22),"")</f>
        <v/>
      </c>
      <c r="H22" s="7">
        <f>IFERROR(IF(E22=0,"",(D22-E22)/E22),"")</f>
        <v/>
      </c>
      <c r="I22" s="6">
        <f>IFERROR(IF(E22=0,"",F22-E22),"")</f>
        <v/>
      </c>
      <c r="J22" s="7">
        <f>IFERROR(IF(E22=0,"",(F22-E22)/E22),"")</f>
        <v/>
      </c>
      <c r="K22">
        <f>IFERROR(INDEX($D$1:$F$1,MATCH(MAX(D22:F22),D22:F22,0)),"")</f>
        <v/>
      </c>
      <c r="L22">
        <f>IFERROR(INDEX($D$1:$F$1,MATCH(MIN(IF(D22:F22&gt;0,D22:F22)),D22:F22,0)),"")</f>
        <v/>
      </c>
    </row>
    <row r="23">
      <c r="A23" t="inlineStr">
        <is>
          <t>Imperdíveis Pizzas salgadas</t>
        </is>
      </c>
      <c r="B23" t="inlineStr">
        <is>
          <t>Pizza Rúcula</t>
        </is>
      </c>
      <c r="C23" t="inlineStr">
        <is>
          <t>Grande</t>
        </is>
      </c>
      <c r="D23" s="6">
        <f>SUMIFS(Dados!$E:$E,Dados!$B:$B,$B23,Dados!$C:$C,$C23,Dados!$D:$D,"iFood")</f>
        <v/>
      </c>
      <c r="E23" s="6">
        <f>SUMIFS(Dados!$E:$E,Dados!$B:$B,$B23,Dados!$C:$C,$C23,Dados!$D:$D,"Loja (Retirada)")</f>
        <v/>
      </c>
      <c r="F23" s="6">
        <f>SUMIFS(Dados!$E:$E,Dados!$B:$B,$B23,Dados!$C:$C,$C23,Dados!$D:$D,"Keeta")</f>
        <v/>
      </c>
      <c r="G23" s="6">
        <f>IFERROR(IF(E23=0,"",D23-E23),"")</f>
        <v/>
      </c>
      <c r="H23" s="7">
        <f>IFERROR(IF(E23=0,"",(D23-E23)/E23),"")</f>
        <v/>
      </c>
      <c r="I23" s="6">
        <f>IFERROR(IF(E23=0,"",F23-E23),"")</f>
        <v/>
      </c>
      <c r="J23" s="7">
        <f>IFERROR(IF(E23=0,"",(F23-E23)/E23),"")</f>
        <v/>
      </c>
      <c r="K23">
        <f>IFERROR(INDEX($D$1:$F$1,MATCH(MAX(D23:F23),D23:F23,0)),"")</f>
        <v/>
      </c>
      <c r="L23">
        <f>IFERROR(INDEX($D$1:$F$1,MATCH(MIN(IF(D23:F23&gt;0,D23:F23)),D23:F23,0)),"")</f>
        <v/>
      </c>
    </row>
    <row r="24">
      <c r="A24" t="inlineStr">
        <is>
          <t>Imperdíveis Pizzas salgadas</t>
        </is>
      </c>
      <c r="B24" t="inlineStr">
        <is>
          <t>Pizza Romana</t>
        </is>
      </c>
      <c r="C24" t="inlineStr">
        <is>
          <t>Brotinho</t>
        </is>
      </c>
      <c r="D24" s="6">
        <f>SUMIFS(Dados!$E:$E,Dados!$B:$B,$B24,Dados!$C:$C,$C24,Dados!$D:$D,"iFood")</f>
        <v/>
      </c>
      <c r="E24" s="6">
        <f>SUMIFS(Dados!$E:$E,Dados!$B:$B,$B24,Dados!$C:$C,$C24,Dados!$D:$D,"Loja (Retirada)")</f>
        <v/>
      </c>
      <c r="F24" s="6">
        <f>SUMIFS(Dados!$E:$E,Dados!$B:$B,$B24,Dados!$C:$C,$C24,Dados!$D:$D,"Keeta")</f>
        <v/>
      </c>
      <c r="G24" s="6">
        <f>IFERROR(IF(E24=0,"",D24-E24),"")</f>
        <v/>
      </c>
      <c r="H24" s="7">
        <f>IFERROR(IF(E24=0,"",(D24-E24)/E24),"")</f>
        <v/>
      </c>
      <c r="I24" s="6">
        <f>IFERROR(IF(E24=0,"",F24-E24),"")</f>
        <v/>
      </c>
      <c r="J24" s="7">
        <f>IFERROR(IF(E24=0,"",(F24-E24)/E24),"")</f>
        <v/>
      </c>
      <c r="K24">
        <f>IFERROR(INDEX($D$1:$F$1,MATCH(MAX(D24:F24),D24:F24,0)),"")</f>
        <v/>
      </c>
      <c r="L24">
        <f>IFERROR(INDEX($D$1:$F$1,MATCH(MIN(IF(D24:F24&gt;0,D24:F24)),D24:F24,0)),"")</f>
        <v/>
      </c>
    </row>
    <row r="25">
      <c r="A25" t="inlineStr">
        <is>
          <t>Imperdíveis Pizzas salgadas</t>
        </is>
      </c>
      <c r="B25" t="inlineStr">
        <is>
          <t>Pizza Romana</t>
        </is>
      </c>
      <c r="C25" t="inlineStr">
        <is>
          <t>Grande</t>
        </is>
      </c>
      <c r="D25" s="6">
        <f>SUMIFS(Dados!$E:$E,Dados!$B:$B,$B25,Dados!$C:$C,$C25,Dados!$D:$D,"iFood")</f>
        <v/>
      </c>
      <c r="E25" s="6">
        <f>SUMIFS(Dados!$E:$E,Dados!$B:$B,$B25,Dados!$C:$C,$C25,Dados!$D:$D,"Loja (Retirada)")</f>
        <v/>
      </c>
      <c r="F25" s="6">
        <f>SUMIFS(Dados!$E:$E,Dados!$B:$B,$B25,Dados!$C:$C,$C25,Dados!$D:$D,"Keeta")</f>
        <v/>
      </c>
      <c r="G25" s="6">
        <f>IFERROR(IF(E25=0,"",D25-E25),"")</f>
        <v/>
      </c>
      <c r="H25" s="7">
        <f>IFERROR(IF(E25=0,"",(D25-E25)/E25),"")</f>
        <v/>
      </c>
      <c r="I25" s="6">
        <f>IFERROR(IF(E25=0,"",F25-E25),"")</f>
        <v/>
      </c>
      <c r="J25" s="7">
        <f>IFERROR(IF(E25=0,"",(F25-E25)/E25),"")</f>
        <v/>
      </c>
      <c r="K25">
        <f>IFERROR(INDEX($D$1:$F$1,MATCH(MAX(D25:F25),D25:F25,0)),"")</f>
        <v/>
      </c>
      <c r="L25">
        <f>IFERROR(INDEX($D$1:$F$1,MATCH(MIN(IF(D25:F25&gt;0,D25:F25)),D25:F25,0)),"")</f>
        <v/>
      </c>
    </row>
    <row r="26">
      <c r="A26" t="inlineStr">
        <is>
          <t>Imperdíveis Pizzas salgadas</t>
        </is>
      </c>
      <c r="B26" t="inlineStr">
        <is>
          <t>Pizza Primeira Classe</t>
        </is>
      </c>
      <c r="C26" t="inlineStr">
        <is>
          <t>Brotinho</t>
        </is>
      </c>
      <c r="D26" s="6">
        <f>SUMIFS(Dados!$E:$E,Dados!$B:$B,$B26,Dados!$C:$C,$C26,Dados!$D:$D,"iFood")</f>
        <v/>
      </c>
      <c r="E26" s="6">
        <f>SUMIFS(Dados!$E:$E,Dados!$B:$B,$B26,Dados!$C:$C,$C26,Dados!$D:$D,"Loja (Retirada)")</f>
        <v/>
      </c>
      <c r="F26" s="6">
        <f>SUMIFS(Dados!$E:$E,Dados!$B:$B,$B26,Dados!$C:$C,$C26,Dados!$D:$D,"Keeta")</f>
        <v/>
      </c>
      <c r="G26" s="6">
        <f>IFERROR(IF(E26=0,"",D26-E26),"")</f>
        <v/>
      </c>
      <c r="H26" s="7">
        <f>IFERROR(IF(E26=0,"",(D26-E26)/E26),"")</f>
        <v/>
      </c>
      <c r="I26" s="6">
        <f>IFERROR(IF(E26=0,"",F26-E26),"")</f>
        <v/>
      </c>
      <c r="J26" s="7">
        <f>IFERROR(IF(E26=0,"",(F26-E26)/E26),"")</f>
        <v/>
      </c>
      <c r="K26">
        <f>IFERROR(INDEX($D$1:$F$1,MATCH(MAX(D26:F26),D26:F26,0)),"")</f>
        <v/>
      </c>
      <c r="L26">
        <f>IFERROR(INDEX($D$1:$F$1,MATCH(MIN(IF(D26:F26&gt;0,D26:F26)),D26:F26,0)),"")</f>
        <v/>
      </c>
    </row>
    <row r="27">
      <c r="A27" t="inlineStr">
        <is>
          <t>Imperdíveis Pizzas salgadas</t>
        </is>
      </c>
      <c r="B27" t="inlineStr">
        <is>
          <t>Pizza Primeira Classe</t>
        </is>
      </c>
      <c r="C27" t="inlineStr">
        <is>
          <t>Grande</t>
        </is>
      </c>
      <c r="D27" s="6">
        <f>SUMIFS(Dados!$E:$E,Dados!$B:$B,$B27,Dados!$C:$C,$C27,Dados!$D:$D,"iFood")</f>
        <v/>
      </c>
      <c r="E27" s="6">
        <f>SUMIFS(Dados!$E:$E,Dados!$B:$B,$B27,Dados!$C:$C,$C27,Dados!$D:$D,"Loja (Retirada)")</f>
        <v/>
      </c>
      <c r="F27" s="6">
        <f>SUMIFS(Dados!$E:$E,Dados!$B:$B,$B27,Dados!$C:$C,$C27,Dados!$D:$D,"Keeta")</f>
        <v/>
      </c>
      <c r="G27" s="6">
        <f>IFERROR(IF(E27=0,"",D27-E27),"")</f>
        <v/>
      </c>
      <c r="H27" s="7">
        <f>IFERROR(IF(E27=0,"",(D27-E27)/E27),"")</f>
        <v/>
      </c>
      <c r="I27" s="6">
        <f>IFERROR(IF(E27=0,"",F27-E27),"")</f>
        <v/>
      </c>
      <c r="J27" s="7">
        <f>IFERROR(IF(E27=0,"",(F27-E27)/E27),"")</f>
        <v/>
      </c>
      <c r="K27">
        <f>IFERROR(INDEX($D$1:$F$1,MATCH(MAX(D27:F27),D27:F27,0)),"")</f>
        <v/>
      </c>
      <c r="L27">
        <f>IFERROR(INDEX($D$1:$F$1,MATCH(MIN(IF(D27:F27&gt;0,D27:F27)),D27:F27,0)),"")</f>
        <v/>
      </c>
    </row>
    <row r="28">
      <c r="A28" t="inlineStr">
        <is>
          <t>Imperdíveis Pizzas salgadas</t>
        </is>
      </c>
      <c r="B28" t="inlineStr">
        <is>
          <t>Pizza Portuguesa 2</t>
        </is>
      </c>
      <c r="C28" t="inlineStr">
        <is>
          <t>Brotinho</t>
        </is>
      </c>
      <c r="D28" s="6">
        <f>SUMIFS(Dados!$E:$E,Dados!$B:$B,$B28,Dados!$C:$C,$C28,Dados!$D:$D,"iFood")</f>
        <v/>
      </c>
      <c r="E28" s="6">
        <f>SUMIFS(Dados!$E:$E,Dados!$B:$B,$B28,Dados!$C:$C,$C28,Dados!$D:$D,"Loja (Retirada)")</f>
        <v/>
      </c>
      <c r="F28" s="6">
        <f>SUMIFS(Dados!$E:$E,Dados!$B:$B,$B28,Dados!$C:$C,$C28,Dados!$D:$D,"Keeta")</f>
        <v/>
      </c>
      <c r="G28" s="6">
        <f>IFERROR(IF(E28=0,"",D28-E28),"")</f>
        <v/>
      </c>
      <c r="H28" s="7">
        <f>IFERROR(IF(E28=0,"",(D28-E28)/E28),"")</f>
        <v/>
      </c>
      <c r="I28" s="6">
        <f>IFERROR(IF(E28=0,"",F28-E28),"")</f>
        <v/>
      </c>
      <c r="J28" s="7">
        <f>IFERROR(IF(E28=0,"",(F28-E28)/E28),"")</f>
        <v/>
      </c>
      <c r="K28">
        <f>IFERROR(INDEX($D$1:$F$1,MATCH(MAX(D28:F28),D28:F28,0)),"")</f>
        <v/>
      </c>
      <c r="L28">
        <f>IFERROR(INDEX($D$1:$F$1,MATCH(MIN(IF(D28:F28&gt;0,D28:F28)),D28:F28,0)),"")</f>
        <v/>
      </c>
    </row>
    <row r="29">
      <c r="A29" t="inlineStr">
        <is>
          <t>Imperdíveis Pizzas salgadas</t>
        </is>
      </c>
      <c r="B29" t="inlineStr">
        <is>
          <t>Pizza Portuguesa 2</t>
        </is>
      </c>
      <c r="C29" t="inlineStr">
        <is>
          <t>Grande</t>
        </is>
      </c>
      <c r="D29" s="6">
        <f>SUMIFS(Dados!$E:$E,Dados!$B:$B,$B29,Dados!$C:$C,$C29,Dados!$D:$D,"iFood")</f>
        <v/>
      </c>
      <c r="E29" s="6">
        <f>SUMIFS(Dados!$E:$E,Dados!$B:$B,$B29,Dados!$C:$C,$C29,Dados!$D:$D,"Loja (Retirada)")</f>
        <v/>
      </c>
      <c r="F29" s="6">
        <f>SUMIFS(Dados!$E:$E,Dados!$B:$B,$B29,Dados!$C:$C,$C29,Dados!$D:$D,"Keeta")</f>
        <v/>
      </c>
      <c r="G29" s="6">
        <f>IFERROR(IF(E29=0,"",D29-E29),"")</f>
        <v/>
      </c>
      <c r="H29" s="7">
        <f>IFERROR(IF(E29=0,"",(D29-E29)/E29),"")</f>
        <v/>
      </c>
      <c r="I29" s="6">
        <f>IFERROR(IF(E29=0,"",F29-E29),"")</f>
        <v/>
      </c>
      <c r="J29" s="7">
        <f>IFERROR(IF(E29=0,"",(F29-E29)/E29),"")</f>
        <v/>
      </c>
      <c r="K29">
        <f>IFERROR(INDEX($D$1:$F$1,MATCH(MAX(D29:F29),D29:F29,0)),"")</f>
        <v/>
      </c>
      <c r="L29">
        <f>IFERROR(INDEX($D$1:$F$1,MATCH(MIN(IF(D29:F29&gt;0,D29:F29)),D29:F29,0)),"")</f>
        <v/>
      </c>
    </row>
    <row r="30">
      <c r="A30" t="inlineStr">
        <is>
          <t>Imperdíveis Pizzas salgadas</t>
        </is>
      </c>
      <c r="B30" t="inlineStr">
        <is>
          <t>Pizza Portuguesa</t>
        </is>
      </c>
      <c r="C30" t="inlineStr">
        <is>
          <t>Brotinho</t>
        </is>
      </c>
      <c r="D30" s="6">
        <f>SUMIFS(Dados!$E:$E,Dados!$B:$B,$B30,Dados!$C:$C,$C30,Dados!$D:$D,"iFood")</f>
        <v/>
      </c>
      <c r="E30" s="6">
        <f>SUMIFS(Dados!$E:$E,Dados!$B:$B,$B30,Dados!$C:$C,$C30,Dados!$D:$D,"Loja (Retirada)")</f>
        <v/>
      </c>
      <c r="F30" s="6">
        <f>SUMIFS(Dados!$E:$E,Dados!$B:$B,$B30,Dados!$C:$C,$C30,Dados!$D:$D,"Keeta")</f>
        <v/>
      </c>
      <c r="G30" s="6">
        <f>IFERROR(IF(E30=0,"",D30-E30),"")</f>
        <v/>
      </c>
      <c r="H30" s="7">
        <f>IFERROR(IF(E30=0,"",(D30-E30)/E30),"")</f>
        <v/>
      </c>
      <c r="I30" s="6">
        <f>IFERROR(IF(E30=0,"",F30-E30),"")</f>
        <v/>
      </c>
      <c r="J30" s="7">
        <f>IFERROR(IF(E30=0,"",(F30-E30)/E30),"")</f>
        <v/>
      </c>
      <c r="K30">
        <f>IFERROR(INDEX($D$1:$F$1,MATCH(MAX(D30:F30),D30:F30,0)),"")</f>
        <v/>
      </c>
      <c r="L30">
        <f>IFERROR(INDEX($D$1:$F$1,MATCH(MIN(IF(D30:F30&gt;0,D30:F30)),D30:F30,0)),"")</f>
        <v/>
      </c>
    </row>
    <row r="31">
      <c r="A31" t="inlineStr">
        <is>
          <t>Imperdíveis Pizzas salgadas</t>
        </is>
      </c>
      <c r="B31" t="inlineStr">
        <is>
          <t>Pizza Portuguesa</t>
        </is>
      </c>
      <c r="C31" t="inlineStr">
        <is>
          <t>Grande</t>
        </is>
      </c>
      <c r="D31" s="6">
        <f>SUMIFS(Dados!$E:$E,Dados!$B:$B,$B31,Dados!$C:$C,$C31,Dados!$D:$D,"iFood")</f>
        <v/>
      </c>
      <c r="E31" s="6">
        <f>SUMIFS(Dados!$E:$E,Dados!$B:$B,$B31,Dados!$C:$C,$C31,Dados!$D:$D,"Loja (Retirada)")</f>
        <v/>
      </c>
      <c r="F31" s="6">
        <f>SUMIFS(Dados!$E:$E,Dados!$B:$B,$B31,Dados!$C:$C,$C31,Dados!$D:$D,"Keeta")</f>
        <v/>
      </c>
      <c r="G31" s="6">
        <f>IFERROR(IF(E31=0,"",D31-E31),"")</f>
        <v/>
      </c>
      <c r="H31" s="7">
        <f>IFERROR(IF(E31=0,"",(D31-E31)/E31),"")</f>
        <v/>
      </c>
      <c r="I31" s="6">
        <f>IFERROR(IF(E31=0,"",F31-E31),"")</f>
        <v/>
      </c>
      <c r="J31" s="7">
        <f>IFERROR(IF(E31=0,"",(F31-E31)/E31),"")</f>
        <v/>
      </c>
      <c r="K31">
        <f>IFERROR(INDEX($D$1:$F$1,MATCH(MAX(D31:F31),D31:F31,0)),"")</f>
        <v/>
      </c>
      <c r="L31">
        <f>IFERROR(INDEX($D$1:$F$1,MATCH(MIN(IF(D31:F31&gt;0,D31:F31)),D31:F31,0)),"")</f>
        <v/>
      </c>
    </row>
    <row r="32">
      <c r="A32" t="inlineStr">
        <is>
          <t>Imperdíveis Pizzas salgadas</t>
        </is>
      </c>
      <c r="B32" t="inlineStr">
        <is>
          <t>Pizza Peruana</t>
        </is>
      </c>
      <c r="C32" t="inlineStr">
        <is>
          <t>Brotinho</t>
        </is>
      </c>
      <c r="D32" s="6">
        <f>SUMIFS(Dados!$E:$E,Dados!$B:$B,$B32,Dados!$C:$C,$C32,Dados!$D:$D,"iFood")</f>
        <v/>
      </c>
      <c r="E32" s="6">
        <f>SUMIFS(Dados!$E:$E,Dados!$B:$B,$B32,Dados!$C:$C,$C32,Dados!$D:$D,"Loja (Retirada)")</f>
        <v/>
      </c>
      <c r="F32" s="6">
        <f>SUMIFS(Dados!$E:$E,Dados!$B:$B,$B32,Dados!$C:$C,$C32,Dados!$D:$D,"Keeta")</f>
        <v/>
      </c>
      <c r="G32" s="6">
        <f>IFERROR(IF(E32=0,"",D32-E32),"")</f>
        <v/>
      </c>
      <c r="H32" s="7">
        <f>IFERROR(IF(E32=0,"",(D32-E32)/E32),"")</f>
        <v/>
      </c>
      <c r="I32" s="6">
        <f>IFERROR(IF(E32=0,"",F32-E32),"")</f>
        <v/>
      </c>
      <c r="J32" s="7">
        <f>IFERROR(IF(E32=0,"",(F32-E32)/E32),"")</f>
        <v/>
      </c>
      <c r="K32">
        <f>IFERROR(INDEX($D$1:$F$1,MATCH(MAX(D32:F32),D32:F32,0)),"")</f>
        <v/>
      </c>
      <c r="L32">
        <f>IFERROR(INDEX($D$1:$F$1,MATCH(MIN(IF(D32:F32&gt;0,D32:F32)),D32:F32,0)),"")</f>
        <v/>
      </c>
    </row>
    <row r="33">
      <c r="A33" t="inlineStr">
        <is>
          <t>Imperdíveis Pizzas salgadas</t>
        </is>
      </c>
      <c r="B33" t="inlineStr">
        <is>
          <t>Pizza Peruana</t>
        </is>
      </c>
      <c r="C33" t="inlineStr">
        <is>
          <t>Grande</t>
        </is>
      </c>
      <c r="D33" s="6">
        <f>SUMIFS(Dados!$E:$E,Dados!$B:$B,$B33,Dados!$C:$C,$C33,Dados!$D:$D,"iFood")</f>
        <v/>
      </c>
      <c r="E33" s="6">
        <f>SUMIFS(Dados!$E:$E,Dados!$B:$B,$B33,Dados!$C:$C,$C33,Dados!$D:$D,"Loja (Retirada)")</f>
        <v/>
      </c>
      <c r="F33" s="6">
        <f>SUMIFS(Dados!$E:$E,Dados!$B:$B,$B33,Dados!$C:$C,$C33,Dados!$D:$D,"Keeta")</f>
        <v/>
      </c>
      <c r="G33" s="6">
        <f>IFERROR(IF(E33=0,"",D33-E33),"")</f>
        <v/>
      </c>
      <c r="H33" s="7">
        <f>IFERROR(IF(E33=0,"",(D33-E33)/E33),"")</f>
        <v/>
      </c>
      <c r="I33" s="6">
        <f>IFERROR(IF(E33=0,"",F33-E33),"")</f>
        <v/>
      </c>
      <c r="J33" s="7">
        <f>IFERROR(IF(E33=0,"",(F33-E33)/E33),"")</f>
        <v/>
      </c>
      <c r="K33">
        <f>IFERROR(INDEX($D$1:$F$1,MATCH(MAX(D33:F33),D33:F33,0)),"")</f>
        <v/>
      </c>
      <c r="L33">
        <f>IFERROR(INDEX($D$1:$F$1,MATCH(MIN(IF(D33:F33&gt;0,D33:F33)),D33:F33,0)),"")</f>
        <v/>
      </c>
    </row>
    <row r="34">
      <c r="A34" t="inlineStr">
        <is>
          <t>Imperdíveis Pizzas salgadas</t>
        </is>
      </c>
      <c r="B34" t="inlineStr">
        <is>
          <t>Pizza Pepperoni</t>
        </is>
      </c>
      <c r="C34" t="inlineStr">
        <is>
          <t>Brotinho</t>
        </is>
      </c>
      <c r="D34" s="6">
        <f>SUMIFS(Dados!$E:$E,Dados!$B:$B,$B34,Dados!$C:$C,$C34,Dados!$D:$D,"iFood")</f>
        <v/>
      </c>
      <c r="E34" s="6">
        <f>SUMIFS(Dados!$E:$E,Dados!$B:$B,$B34,Dados!$C:$C,$C34,Dados!$D:$D,"Loja (Retirada)")</f>
        <v/>
      </c>
      <c r="F34" s="6">
        <f>SUMIFS(Dados!$E:$E,Dados!$B:$B,$B34,Dados!$C:$C,$C34,Dados!$D:$D,"Keeta")</f>
        <v/>
      </c>
      <c r="G34" s="6">
        <f>IFERROR(IF(E34=0,"",D34-E34),"")</f>
        <v/>
      </c>
      <c r="H34" s="7">
        <f>IFERROR(IF(E34=0,"",(D34-E34)/E34),"")</f>
        <v/>
      </c>
      <c r="I34" s="6">
        <f>IFERROR(IF(E34=0,"",F34-E34),"")</f>
        <v/>
      </c>
      <c r="J34" s="7">
        <f>IFERROR(IF(E34=0,"",(F34-E34)/E34),"")</f>
        <v/>
      </c>
      <c r="K34">
        <f>IFERROR(INDEX($D$1:$F$1,MATCH(MAX(D34:F34),D34:F34,0)),"")</f>
        <v/>
      </c>
      <c r="L34">
        <f>IFERROR(INDEX($D$1:$F$1,MATCH(MIN(IF(D34:F34&gt;0,D34:F34)),D34:F34,0)),"")</f>
        <v/>
      </c>
    </row>
    <row r="35">
      <c r="A35" t="inlineStr">
        <is>
          <t>Imperdíveis Pizzas salgadas</t>
        </is>
      </c>
      <c r="B35" t="inlineStr">
        <is>
          <t>Pizza Pepperoni</t>
        </is>
      </c>
      <c r="C35" t="inlineStr">
        <is>
          <t>Grande</t>
        </is>
      </c>
      <c r="D35" s="6">
        <f>SUMIFS(Dados!$E:$E,Dados!$B:$B,$B35,Dados!$C:$C,$C35,Dados!$D:$D,"iFood")</f>
        <v/>
      </c>
      <c r="E35" s="6">
        <f>SUMIFS(Dados!$E:$E,Dados!$B:$B,$B35,Dados!$C:$C,$C35,Dados!$D:$D,"Loja (Retirada)")</f>
        <v/>
      </c>
      <c r="F35" s="6">
        <f>SUMIFS(Dados!$E:$E,Dados!$B:$B,$B35,Dados!$C:$C,$C35,Dados!$D:$D,"Keeta")</f>
        <v/>
      </c>
      <c r="G35" s="6">
        <f>IFERROR(IF(E35=0,"",D35-E35),"")</f>
        <v/>
      </c>
      <c r="H35" s="7">
        <f>IFERROR(IF(E35=0,"",(D35-E35)/E35),"")</f>
        <v/>
      </c>
      <c r="I35" s="6">
        <f>IFERROR(IF(E35=0,"",F35-E35),"")</f>
        <v/>
      </c>
      <c r="J35" s="7">
        <f>IFERROR(IF(E35=0,"",(F35-E35)/E35),"")</f>
        <v/>
      </c>
      <c r="K35">
        <f>IFERROR(INDEX($D$1:$F$1,MATCH(MAX(D35:F35),D35:F35,0)),"")</f>
        <v/>
      </c>
      <c r="L35">
        <f>IFERROR(INDEX($D$1:$F$1,MATCH(MIN(IF(D35:F35&gt;0,D35:F35)),D35:F35,0)),"")</f>
        <v/>
      </c>
    </row>
    <row r="36">
      <c r="A36" t="inlineStr">
        <is>
          <t>Imperdíveis Pizzas salgadas</t>
        </is>
      </c>
      <c r="B36" t="inlineStr">
        <is>
          <t>Pizza Palmito</t>
        </is>
      </c>
      <c r="C36" t="inlineStr">
        <is>
          <t>Brotinho</t>
        </is>
      </c>
      <c r="D36" s="6">
        <f>SUMIFS(Dados!$E:$E,Dados!$B:$B,$B36,Dados!$C:$C,$C36,Dados!$D:$D,"iFood")</f>
        <v/>
      </c>
      <c r="E36" s="6">
        <f>SUMIFS(Dados!$E:$E,Dados!$B:$B,$B36,Dados!$C:$C,$C36,Dados!$D:$D,"Loja (Retirada)")</f>
        <v/>
      </c>
      <c r="F36" s="6">
        <f>SUMIFS(Dados!$E:$E,Dados!$B:$B,$B36,Dados!$C:$C,$C36,Dados!$D:$D,"Keeta")</f>
        <v/>
      </c>
      <c r="G36" s="6">
        <f>IFERROR(IF(E36=0,"",D36-E36),"")</f>
        <v/>
      </c>
      <c r="H36" s="7">
        <f>IFERROR(IF(E36=0,"",(D36-E36)/E36),"")</f>
        <v/>
      </c>
      <c r="I36" s="6">
        <f>IFERROR(IF(E36=0,"",F36-E36),"")</f>
        <v/>
      </c>
      <c r="J36" s="7">
        <f>IFERROR(IF(E36=0,"",(F36-E36)/E36),"")</f>
        <v/>
      </c>
      <c r="K36">
        <f>IFERROR(INDEX($D$1:$F$1,MATCH(MAX(D36:F36),D36:F36,0)),"")</f>
        <v/>
      </c>
      <c r="L36">
        <f>IFERROR(INDEX($D$1:$F$1,MATCH(MIN(IF(D36:F36&gt;0,D36:F36)),D36:F36,0)),"")</f>
        <v/>
      </c>
    </row>
    <row r="37">
      <c r="A37" t="inlineStr">
        <is>
          <t>Imperdíveis Pizzas salgadas</t>
        </is>
      </c>
      <c r="B37" t="inlineStr">
        <is>
          <t>Pizza Palmito</t>
        </is>
      </c>
      <c r="C37" t="inlineStr">
        <is>
          <t>Grande</t>
        </is>
      </c>
      <c r="D37" s="6">
        <f>SUMIFS(Dados!$E:$E,Dados!$B:$B,$B37,Dados!$C:$C,$C37,Dados!$D:$D,"iFood")</f>
        <v/>
      </c>
      <c r="E37" s="6">
        <f>SUMIFS(Dados!$E:$E,Dados!$B:$B,$B37,Dados!$C:$C,$C37,Dados!$D:$D,"Loja (Retirada)")</f>
        <v/>
      </c>
      <c r="F37" s="6">
        <f>SUMIFS(Dados!$E:$E,Dados!$B:$B,$B37,Dados!$C:$C,$C37,Dados!$D:$D,"Keeta")</f>
        <v/>
      </c>
      <c r="G37" s="6">
        <f>IFERROR(IF(E37=0,"",D37-E37),"")</f>
        <v/>
      </c>
      <c r="H37" s="7">
        <f>IFERROR(IF(E37=0,"",(D37-E37)/E37),"")</f>
        <v/>
      </c>
      <c r="I37" s="6">
        <f>IFERROR(IF(E37=0,"",F37-E37),"")</f>
        <v/>
      </c>
      <c r="J37" s="7">
        <f>IFERROR(IF(E37=0,"",(F37-E37)/E37),"")</f>
        <v/>
      </c>
      <c r="K37">
        <f>IFERROR(INDEX($D$1:$F$1,MATCH(MAX(D37:F37),D37:F37,0)),"")</f>
        <v/>
      </c>
      <c r="L37">
        <f>IFERROR(INDEX($D$1:$F$1,MATCH(MIN(IF(D37:F37&gt;0,D37:F37)),D37:F37,0)),"")</f>
        <v/>
      </c>
    </row>
    <row r="38">
      <c r="A38" t="inlineStr">
        <is>
          <t>Imperdíveis Pizzas salgadas</t>
        </is>
      </c>
      <c r="B38" t="inlineStr">
        <is>
          <t>Pizza Napolitana</t>
        </is>
      </c>
      <c r="C38" t="inlineStr">
        <is>
          <t>Brotinho</t>
        </is>
      </c>
      <c r="D38" s="6">
        <f>SUMIFS(Dados!$E:$E,Dados!$B:$B,$B38,Dados!$C:$C,$C38,Dados!$D:$D,"iFood")</f>
        <v/>
      </c>
      <c r="E38" s="6">
        <f>SUMIFS(Dados!$E:$E,Dados!$B:$B,$B38,Dados!$C:$C,$C38,Dados!$D:$D,"Loja (Retirada)")</f>
        <v/>
      </c>
      <c r="F38" s="6">
        <f>SUMIFS(Dados!$E:$E,Dados!$B:$B,$B38,Dados!$C:$C,$C38,Dados!$D:$D,"Keeta")</f>
        <v/>
      </c>
      <c r="G38" s="6">
        <f>IFERROR(IF(E38=0,"",D38-E38),"")</f>
        <v/>
      </c>
      <c r="H38" s="7">
        <f>IFERROR(IF(E38=0,"",(D38-E38)/E38),"")</f>
        <v/>
      </c>
      <c r="I38" s="6">
        <f>IFERROR(IF(E38=0,"",F38-E38),"")</f>
        <v/>
      </c>
      <c r="J38" s="7">
        <f>IFERROR(IF(E38=0,"",(F38-E38)/E38),"")</f>
        <v/>
      </c>
      <c r="K38">
        <f>IFERROR(INDEX($D$1:$F$1,MATCH(MAX(D38:F38),D38:F38,0)),"")</f>
        <v/>
      </c>
      <c r="L38">
        <f>IFERROR(INDEX($D$1:$F$1,MATCH(MIN(IF(D38:F38&gt;0,D38:F38)),D38:F38,0)),"")</f>
        <v/>
      </c>
    </row>
    <row r="39">
      <c r="A39" t="inlineStr">
        <is>
          <t>Imperdíveis Pizzas salgadas</t>
        </is>
      </c>
      <c r="B39" t="inlineStr">
        <is>
          <t>Pizza Napolitana</t>
        </is>
      </c>
      <c r="C39" t="inlineStr">
        <is>
          <t>Grande</t>
        </is>
      </c>
      <c r="D39" s="6">
        <f>SUMIFS(Dados!$E:$E,Dados!$B:$B,$B39,Dados!$C:$C,$C39,Dados!$D:$D,"iFood")</f>
        <v/>
      </c>
      <c r="E39" s="6">
        <f>SUMIFS(Dados!$E:$E,Dados!$B:$B,$B39,Dados!$C:$C,$C39,Dados!$D:$D,"Loja (Retirada)")</f>
        <v/>
      </c>
      <c r="F39" s="6">
        <f>SUMIFS(Dados!$E:$E,Dados!$B:$B,$B39,Dados!$C:$C,$C39,Dados!$D:$D,"Keeta")</f>
        <v/>
      </c>
      <c r="G39" s="6">
        <f>IFERROR(IF(E39=0,"",D39-E39),"")</f>
        <v/>
      </c>
      <c r="H39" s="7">
        <f>IFERROR(IF(E39=0,"",(D39-E39)/E39),"")</f>
        <v/>
      </c>
      <c r="I39" s="6">
        <f>IFERROR(IF(E39=0,"",F39-E39),"")</f>
        <v/>
      </c>
      <c r="J39" s="7">
        <f>IFERROR(IF(E39=0,"",(F39-E39)/E39),"")</f>
        <v/>
      </c>
      <c r="K39">
        <f>IFERROR(INDEX($D$1:$F$1,MATCH(MAX(D39:F39),D39:F39,0)),"")</f>
        <v/>
      </c>
      <c r="L39">
        <f>IFERROR(INDEX($D$1:$F$1,MATCH(MIN(IF(D39:F39&gt;0,D39:F39)),D39:F39,0)),"")</f>
        <v/>
      </c>
    </row>
    <row r="40">
      <c r="A40" t="inlineStr">
        <is>
          <t>Imperdíveis Pizzas salgadas</t>
        </is>
      </c>
      <c r="B40" t="inlineStr">
        <is>
          <t>Pizza Mussarela</t>
        </is>
      </c>
      <c r="C40" t="inlineStr">
        <is>
          <t>Brotinho</t>
        </is>
      </c>
      <c r="D40" s="6">
        <f>SUMIFS(Dados!$E:$E,Dados!$B:$B,$B40,Dados!$C:$C,$C40,Dados!$D:$D,"iFood")</f>
        <v/>
      </c>
      <c r="E40" s="6">
        <f>SUMIFS(Dados!$E:$E,Dados!$B:$B,$B40,Dados!$C:$C,$C40,Dados!$D:$D,"Loja (Retirada)")</f>
        <v/>
      </c>
      <c r="F40" s="6">
        <f>SUMIFS(Dados!$E:$E,Dados!$B:$B,$B40,Dados!$C:$C,$C40,Dados!$D:$D,"Keeta")</f>
        <v/>
      </c>
      <c r="G40" s="6">
        <f>IFERROR(IF(E40=0,"",D40-E40),"")</f>
        <v/>
      </c>
      <c r="H40" s="7">
        <f>IFERROR(IF(E40=0,"",(D40-E40)/E40),"")</f>
        <v/>
      </c>
      <c r="I40" s="6">
        <f>IFERROR(IF(E40=0,"",F40-E40),"")</f>
        <v/>
      </c>
      <c r="J40" s="7">
        <f>IFERROR(IF(E40=0,"",(F40-E40)/E40),"")</f>
        <v/>
      </c>
      <c r="K40">
        <f>IFERROR(INDEX($D$1:$F$1,MATCH(MAX(D40:F40),D40:F40,0)),"")</f>
        <v/>
      </c>
      <c r="L40">
        <f>IFERROR(INDEX($D$1:$F$1,MATCH(MIN(IF(D40:F40&gt;0,D40:F40)),D40:F40,0)),"")</f>
        <v/>
      </c>
    </row>
    <row r="41">
      <c r="A41" t="inlineStr">
        <is>
          <t>Imperdíveis Pizzas salgadas</t>
        </is>
      </c>
      <c r="B41" t="inlineStr">
        <is>
          <t>Pizza Mussarela</t>
        </is>
      </c>
      <c r="C41" t="inlineStr">
        <is>
          <t>Grande</t>
        </is>
      </c>
      <c r="D41" s="6">
        <f>SUMIFS(Dados!$E:$E,Dados!$B:$B,$B41,Dados!$C:$C,$C41,Dados!$D:$D,"iFood")</f>
        <v/>
      </c>
      <c r="E41" s="6">
        <f>SUMIFS(Dados!$E:$E,Dados!$B:$B,$B41,Dados!$C:$C,$C41,Dados!$D:$D,"Loja (Retirada)")</f>
        <v/>
      </c>
      <c r="F41" s="6">
        <f>SUMIFS(Dados!$E:$E,Dados!$B:$B,$B41,Dados!$C:$C,$C41,Dados!$D:$D,"Keeta")</f>
        <v/>
      </c>
      <c r="G41" s="6">
        <f>IFERROR(IF(E41=0,"",D41-E41),"")</f>
        <v/>
      </c>
      <c r="H41" s="7">
        <f>IFERROR(IF(E41=0,"",(D41-E41)/E41),"")</f>
        <v/>
      </c>
      <c r="I41" s="6">
        <f>IFERROR(IF(E41=0,"",F41-E41),"")</f>
        <v/>
      </c>
      <c r="J41" s="7">
        <f>IFERROR(IF(E41=0,"",(F41-E41)/E41),"")</f>
        <v/>
      </c>
      <c r="K41">
        <f>IFERROR(INDEX($D$1:$F$1,MATCH(MAX(D41:F41),D41:F41,0)),"")</f>
        <v/>
      </c>
      <c r="L41">
        <f>IFERROR(INDEX($D$1:$F$1,MATCH(MIN(IF(D41:F41&gt;0,D41:F41)),D41:F41,0)),"")</f>
        <v/>
      </c>
    </row>
    <row r="42">
      <c r="A42" t="inlineStr">
        <is>
          <t>Imperdíveis Pizzas salgadas</t>
        </is>
      </c>
      <c r="B42" t="inlineStr">
        <is>
          <t>Pizza Mista</t>
        </is>
      </c>
      <c r="C42" t="inlineStr">
        <is>
          <t>Brotinho</t>
        </is>
      </c>
      <c r="D42" s="6">
        <f>SUMIFS(Dados!$E:$E,Dados!$B:$B,$B42,Dados!$C:$C,$C42,Dados!$D:$D,"iFood")</f>
        <v/>
      </c>
      <c r="E42" s="6">
        <f>SUMIFS(Dados!$E:$E,Dados!$B:$B,$B42,Dados!$C:$C,$C42,Dados!$D:$D,"Loja (Retirada)")</f>
        <v/>
      </c>
      <c r="F42" s="6">
        <f>SUMIFS(Dados!$E:$E,Dados!$B:$B,$B42,Dados!$C:$C,$C42,Dados!$D:$D,"Keeta")</f>
        <v/>
      </c>
      <c r="G42" s="6">
        <f>IFERROR(IF(E42=0,"",D42-E42),"")</f>
        <v/>
      </c>
      <c r="H42" s="7">
        <f>IFERROR(IF(E42=0,"",(D42-E42)/E42),"")</f>
        <v/>
      </c>
      <c r="I42" s="6">
        <f>IFERROR(IF(E42=0,"",F42-E42),"")</f>
        <v/>
      </c>
      <c r="J42" s="7">
        <f>IFERROR(IF(E42=0,"",(F42-E42)/E42),"")</f>
        <v/>
      </c>
      <c r="K42">
        <f>IFERROR(INDEX($D$1:$F$1,MATCH(MAX(D42:F42),D42:F42,0)),"")</f>
        <v/>
      </c>
      <c r="L42">
        <f>IFERROR(INDEX($D$1:$F$1,MATCH(MIN(IF(D42:F42&gt;0,D42:F42)),D42:F42,0)),"")</f>
        <v/>
      </c>
    </row>
    <row r="43">
      <c r="A43" t="inlineStr">
        <is>
          <t>Imperdíveis Pizzas salgadas</t>
        </is>
      </c>
      <c r="B43" t="inlineStr">
        <is>
          <t>Pizza Mista</t>
        </is>
      </c>
      <c r="C43" t="inlineStr">
        <is>
          <t>Grande</t>
        </is>
      </c>
      <c r="D43" s="6">
        <f>SUMIFS(Dados!$E:$E,Dados!$B:$B,$B43,Dados!$C:$C,$C43,Dados!$D:$D,"iFood")</f>
        <v/>
      </c>
      <c r="E43" s="6">
        <f>SUMIFS(Dados!$E:$E,Dados!$B:$B,$B43,Dados!$C:$C,$C43,Dados!$D:$D,"Loja (Retirada)")</f>
        <v/>
      </c>
      <c r="F43" s="6">
        <f>SUMIFS(Dados!$E:$E,Dados!$B:$B,$B43,Dados!$C:$C,$C43,Dados!$D:$D,"Keeta")</f>
        <v/>
      </c>
      <c r="G43" s="6">
        <f>IFERROR(IF(E43=0,"",D43-E43),"")</f>
        <v/>
      </c>
      <c r="H43" s="7">
        <f>IFERROR(IF(E43=0,"",(D43-E43)/E43),"")</f>
        <v/>
      </c>
      <c r="I43" s="6">
        <f>IFERROR(IF(E43=0,"",F43-E43),"")</f>
        <v/>
      </c>
      <c r="J43" s="7">
        <f>IFERROR(IF(E43=0,"",(F43-E43)/E43),"")</f>
        <v/>
      </c>
      <c r="K43">
        <f>IFERROR(INDEX($D$1:$F$1,MATCH(MAX(D43:F43),D43:F43,0)),"")</f>
        <v/>
      </c>
      <c r="L43">
        <f>IFERROR(INDEX($D$1:$F$1,MATCH(MIN(IF(D43:F43&gt;0,D43:F43)),D43:F43,0)),"")</f>
        <v/>
      </c>
    </row>
    <row r="44">
      <c r="A44" t="inlineStr">
        <is>
          <t>Imperdíveis Pizzas salgadas</t>
        </is>
      </c>
      <c r="B44" t="inlineStr">
        <is>
          <t>Pizza Milho</t>
        </is>
      </c>
      <c r="C44" t="inlineStr">
        <is>
          <t>Brotinho</t>
        </is>
      </c>
      <c r="D44" s="6">
        <f>SUMIFS(Dados!$E:$E,Dados!$B:$B,$B44,Dados!$C:$C,$C44,Dados!$D:$D,"iFood")</f>
        <v/>
      </c>
      <c r="E44" s="6">
        <f>SUMIFS(Dados!$E:$E,Dados!$B:$B,$B44,Dados!$C:$C,$C44,Dados!$D:$D,"Loja (Retirada)")</f>
        <v/>
      </c>
      <c r="F44" s="6">
        <f>SUMIFS(Dados!$E:$E,Dados!$B:$B,$B44,Dados!$C:$C,$C44,Dados!$D:$D,"Keeta")</f>
        <v/>
      </c>
      <c r="G44" s="6">
        <f>IFERROR(IF(E44=0,"",D44-E44),"")</f>
        <v/>
      </c>
      <c r="H44" s="7">
        <f>IFERROR(IF(E44=0,"",(D44-E44)/E44),"")</f>
        <v/>
      </c>
      <c r="I44" s="6">
        <f>IFERROR(IF(E44=0,"",F44-E44),"")</f>
        <v/>
      </c>
      <c r="J44" s="7">
        <f>IFERROR(IF(E44=0,"",(F44-E44)/E44),"")</f>
        <v/>
      </c>
      <c r="K44">
        <f>IFERROR(INDEX($D$1:$F$1,MATCH(MAX(D44:F44),D44:F44,0)),"")</f>
        <v/>
      </c>
      <c r="L44">
        <f>IFERROR(INDEX($D$1:$F$1,MATCH(MIN(IF(D44:F44&gt;0,D44:F44)),D44:F44,0)),"")</f>
        <v/>
      </c>
    </row>
    <row r="45">
      <c r="A45" t="inlineStr">
        <is>
          <t>Imperdíveis Pizzas salgadas</t>
        </is>
      </c>
      <c r="B45" t="inlineStr">
        <is>
          <t>Pizza Milho</t>
        </is>
      </c>
      <c r="C45" t="inlineStr">
        <is>
          <t>Grande</t>
        </is>
      </c>
      <c r="D45" s="6">
        <f>SUMIFS(Dados!$E:$E,Dados!$B:$B,$B45,Dados!$C:$C,$C45,Dados!$D:$D,"iFood")</f>
        <v/>
      </c>
      <c r="E45" s="6">
        <f>SUMIFS(Dados!$E:$E,Dados!$B:$B,$B45,Dados!$C:$C,$C45,Dados!$D:$D,"Loja (Retirada)")</f>
        <v/>
      </c>
      <c r="F45" s="6">
        <f>SUMIFS(Dados!$E:$E,Dados!$B:$B,$B45,Dados!$C:$C,$C45,Dados!$D:$D,"Keeta")</f>
        <v/>
      </c>
      <c r="G45" s="6">
        <f>IFERROR(IF(E45=0,"",D45-E45),"")</f>
        <v/>
      </c>
      <c r="H45" s="7">
        <f>IFERROR(IF(E45=0,"",(D45-E45)/E45),"")</f>
        <v/>
      </c>
      <c r="I45" s="6">
        <f>IFERROR(IF(E45=0,"",F45-E45),"")</f>
        <v/>
      </c>
      <c r="J45" s="7">
        <f>IFERROR(IF(E45=0,"",(F45-E45)/E45),"")</f>
        <v/>
      </c>
      <c r="K45">
        <f>IFERROR(INDEX($D$1:$F$1,MATCH(MAX(D45:F45),D45:F45,0)),"")</f>
        <v/>
      </c>
      <c r="L45">
        <f>IFERROR(INDEX($D$1:$F$1,MATCH(MIN(IF(D45:F45&gt;0,D45:F45)),D45:F45,0)),"")</f>
        <v/>
      </c>
    </row>
    <row r="46">
      <c r="A46" t="inlineStr">
        <is>
          <t>Imperdíveis Pizzas salgadas</t>
        </is>
      </c>
      <c r="B46" t="inlineStr">
        <is>
          <t>Pizza Marguerita Especial</t>
        </is>
      </c>
      <c r="C46" t="inlineStr">
        <is>
          <t>Brotinho</t>
        </is>
      </c>
      <c r="D46" s="6">
        <f>SUMIFS(Dados!$E:$E,Dados!$B:$B,$B46,Dados!$C:$C,$C46,Dados!$D:$D,"iFood")</f>
        <v/>
      </c>
      <c r="E46" s="6">
        <f>SUMIFS(Dados!$E:$E,Dados!$B:$B,$B46,Dados!$C:$C,$C46,Dados!$D:$D,"Loja (Retirada)")</f>
        <v/>
      </c>
      <c r="F46" s="6">
        <f>SUMIFS(Dados!$E:$E,Dados!$B:$B,$B46,Dados!$C:$C,$C46,Dados!$D:$D,"Keeta")</f>
        <v/>
      </c>
      <c r="G46" s="6">
        <f>IFERROR(IF(E46=0,"",D46-E46),"")</f>
        <v/>
      </c>
      <c r="H46" s="7">
        <f>IFERROR(IF(E46=0,"",(D46-E46)/E46),"")</f>
        <v/>
      </c>
      <c r="I46" s="6">
        <f>IFERROR(IF(E46=0,"",F46-E46),"")</f>
        <v/>
      </c>
      <c r="J46" s="7">
        <f>IFERROR(IF(E46=0,"",(F46-E46)/E46),"")</f>
        <v/>
      </c>
      <c r="K46">
        <f>IFERROR(INDEX($D$1:$F$1,MATCH(MAX(D46:F46),D46:F46,0)),"")</f>
        <v/>
      </c>
      <c r="L46">
        <f>IFERROR(INDEX($D$1:$F$1,MATCH(MIN(IF(D46:F46&gt;0,D46:F46)),D46:F46,0)),"")</f>
        <v/>
      </c>
    </row>
    <row r="47">
      <c r="A47" t="inlineStr">
        <is>
          <t>Imperdíveis Pizzas salgadas</t>
        </is>
      </c>
      <c r="B47" t="inlineStr">
        <is>
          <t>Pizza Marguerita Especial</t>
        </is>
      </c>
      <c r="C47" t="inlineStr">
        <is>
          <t>Grande</t>
        </is>
      </c>
      <c r="D47" s="6">
        <f>SUMIFS(Dados!$E:$E,Dados!$B:$B,$B47,Dados!$C:$C,$C47,Dados!$D:$D,"iFood")</f>
        <v/>
      </c>
      <c r="E47" s="6">
        <f>SUMIFS(Dados!$E:$E,Dados!$B:$B,$B47,Dados!$C:$C,$C47,Dados!$D:$D,"Loja (Retirada)")</f>
        <v/>
      </c>
      <c r="F47" s="6">
        <f>SUMIFS(Dados!$E:$E,Dados!$B:$B,$B47,Dados!$C:$C,$C47,Dados!$D:$D,"Keeta")</f>
        <v/>
      </c>
      <c r="G47" s="6">
        <f>IFERROR(IF(E47=0,"",D47-E47),"")</f>
        <v/>
      </c>
      <c r="H47" s="7">
        <f>IFERROR(IF(E47=0,"",(D47-E47)/E47),"")</f>
        <v/>
      </c>
      <c r="I47" s="6">
        <f>IFERROR(IF(E47=0,"",F47-E47),"")</f>
        <v/>
      </c>
      <c r="J47" s="7">
        <f>IFERROR(IF(E47=0,"",(F47-E47)/E47),"")</f>
        <v/>
      </c>
      <c r="K47">
        <f>IFERROR(INDEX($D$1:$F$1,MATCH(MAX(D47:F47),D47:F47,0)),"")</f>
        <v/>
      </c>
      <c r="L47">
        <f>IFERROR(INDEX($D$1:$F$1,MATCH(MIN(IF(D47:F47&gt;0,D47:F47)),D47:F47,0)),"")</f>
        <v/>
      </c>
    </row>
    <row r="48">
      <c r="A48" t="inlineStr">
        <is>
          <t>Imperdíveis Pizzas salgadas</t>
        </is>
      </c>
      <c r="B48" t="inlineStr">
        <is>
          <t>Pizza Marguerita</t>
        </is>
      </c>
      <c r="C48" t="inlineStr">
        <is>
          <t>Brotinho</t>
        </is>
      </c>
      <c r="D48" s="6">
        <f>SUMIFS(Dados!$E:$E,Dados!$B:$B,$B48,Dados!$C:$C,$C48,Dados!$D:$D,"iFood")</f>
        <v/>
      </c>
      <c r="E48" s="6">
        <f>SUMIFS(Dados!$E:$E,Dados!$B:$B,$B48,Dados!$C:$C,$C48,Dados!$D:$D,"Loja (Retirada)")</f>
        <v/>
      </c>
      <c r="F48" s="6">
        <f>SUMIFS(Dados!$E:$E,Dados!$B:$B,$B48,Dados!$C:$C,$C48,Dados!$D:$D,"Keeta")</f>
        <v/>
      </c>
      <c r="G48" s="6">
        <f>IFERROR(IF(E48=0,"",D48-E48),"")</f>
        <v/>
      </c>
      <c r="H48" s="7">
        <f>IFERROR(IF(E48=0,"",(D48-E48)/E48),"")</f>
        <v/>
      </c>
      <c r="I48" s="6">
        <f>IFERROR(IF(E48=0,"",F48-E48),"")</f>
        <v/>
      </c>
      <c r="J48" s="7">
        <f>IFERROR(IF(E48=0,"",(F48-E48)/E48),"")</f>
        <v/>
      </c>
      <c r="K48">
        <f>IFERROR(INDEX($D$1:$F$1,MATCH(MAX(D48:F48),D48:F48,0)),"")</f>
        <v/>
      </c>
      <c r="L48">
        <f>IFERROR(INDEX($D$1:$F$1,MATCH(MIN(IF(D48:F48&gt;0,D48:F48)),D48:F48,0)),"")</f>
        <v/>
      </c>
    </row>
    <row r="49">
      <c r="A49" t="inlineStr">
        <is>
          <t>Imperdíveis Pizzas salgadas</t>
        </is>
      </c>
      <c r="B49" t="inlineStr">
        <is>
          <t>Pizza Marguerita</t>
        </is>
      </c>
      <c r="C49" t="inlineStr">
        <is>
          <t>Grande</t>
        </is>
      </c>
      <c r="D49" s="6">
        <f>SUMIFS(Dados!$E:$E,Dados!$B:$B,$B49,Dados!$C:$C,$C49,Dados!$D:$D,"iFood")</f>
        <v/>
      </c>
      <c r="E49" s="6">
        <f>SUMIFS(Dados!$E:$E,Dados!$B:$B,$B49,Dados!$C:$C,$C49,Dados!$D:$D,"Loja (Retirada)")</f>
        <v/>
      </c>
      <c r="F49" s="6">
        <f>SUMIFS(Dados!$E:$E,Dados!$B:$B,$B49,Dados!$C:$C,$C49,Dados!$D:$D,"Keeta")</f>
        <v/>
      </c>
      <c r="G49" s="6">
        <f>IFERROR(IF(E49=0,"",D49-E49),"")</f>
        <v/>
      </c>
      <c r="H49" s="7">
        <f>IFERROR(IF(E49=0,"",(D49-E49)/E49),"")</f>
        <v/>
      </c>
      <c r="I49" s="6">
        <f>IFERROR(IF(E49=0,"",F49-E49),"")</f>
        <v/>
      </c>
      <c r="J49" s="7">
        <f>IFERROR(IF(E49=0,"",(F49-E49)/E49),"")</f>
        <v/>
      </c>
      <c r="K49">
        <f>IFERROR(INDEX($D$1:$F$1,MATCH(MAX(D49:F49),D49:F49,0)),"")</f>
        <v/>
      </c>
      <c r="L49">
        <f>IFERROR(INDEX($D$1:$F$1,MATCH(MIN(IF(D49:F49&gt;0,D49:F49)),D49:F49,0)),"")</f>
        <v/>
      </c>
    </row>
    <row r="50">
      <c r="A50" t="inlineStr">
        <is>
          <t>Imperdíveis Pizzas salgadas</t>
        </is>
      </c>
      <c r="B50" t="inlineStr">
        <is>
          <t>Pizza Lombo 2</t>
        </is>
      </c>
      <c r="C50" t="inlineStr">
        <is>
          <t>Brotinho</t>
        </is>
      </c>
      <c r="D50" s="6">
        <f>SUMIFS(Dados!$E:$E,Dados!$B:$B,$B50,Dados!$C:$C,$C50,Dados!$D:$D,"iFood")</f>
        <v/>
      </c>
      <c r="E50" s="6">
        <f>SUMIFS(Dados!$E:$E,Dados!$B:$B,$B50,Dados!$C:$C,$C50,Dados!$D:$D,"Loja (Retirada)")</f>
        <v/>
      </c>
      <c r="F50" s="6">
        <f>SUMIFS(Dados!$E:$E,Dados!$B:$B,$B50,Dados!$C:$C,$C50,Dados!$D:$D,"Keeta")</f>
        <v/>
      </c>
      <c r="G50" s="6">
        <f>IFERROR(IF(E50=0,"",D50-E50),"")</f>
        <v/>
      </c>
      <c r="H50" s="7">
        <f>IFERROR(IF(E50=0,"",(D50-E50)/E50),"")</f>
        <v/>
      </c>
      <c r="I50" s="6">
        <f>IFERROR(IF(E50=0,"",F50-E50),"")</f>
        <v/>
      </c>
      <c r="J50" s="7">
        <f>IFERROR(IF(E50=0,"",(F50-E50)/E50),"")</f>
        <v/>
      </c>
      <c r="K50">
        <f>IFERROR(INDEX($D$1:$F$1,MATCH(MAX(D50:F50),D50:F50,0)),"")</f>
        <v/>
      </c>
      <c r="L50">
        <f>IFERROR(INDEX($D$1:$F$1,MATCH(MIN(IF(D50:F50&gt;0,D50:F50)),D50:F50,0)),"")</f>
        <v/>
      </c>
    </row>
    <row r="51">
      <c r="A51" t="inlineStr">
        <is>
          <t>Imperdíveis Pizzas salgadas</t>
        </is>
      </c>
      <c r="B51" t="inlineStr">
        <is>
          <t>Pizza Lombo 2</t>
        </is>
      </c>
      <c r="C51" t="inlineStr">
        <is>
          <t>Grande</t>
        </is>
      </c>
      <c r="D51" s="6">
        <f>SUMIFS(Dados!$E:$E,Dados!$B:$B,$B51,Dados!$C:$C,$C51,Dados!$D:$D,"iFood")</f>
        <v/>
      </c>
      <c r="E51" s="6">
        <f>SUMIFS(Dados!$E:$E,Dados!$B:$B,$B51,Dados!$C:$C,$C51,Dados!$D:$D,"Loja (Retirada)")</f>
        <v/>
      </c>
      <c r="F51" s="6">
        <f>SUMIFS(Dados!$E:$E,Dados!$B:$B,$B51,Dados!$C:$C,$C51,Dados!$D:$D,"Keeta")</f>
        <v/>
      </c>
      <c r="G51" s="6">
        <f>IFERROR(IF(E51=0,"",D51-E51),"")</f>
        <v/>
      </c>
      <c r="H51" s="7">
        <f>IFERROR(IF(E51=0,"",(D51-E51)/E51),"")</f>
        <v/>
      </c>
      <c r="I51" s="6">
        <f>IFERROR(IF(E51=0,"",F51-E51),"")</f>
        <v/>
      </c>
      <c r="J51" s="7">
        <f>IFERROR(IF(E51=0,"",(F51-E51)/E51),"")</f>
        <v/>
      </c>
      <c r="K51">
        <f>IFERROR(INDEX($D$1:$F$1,MATCH(MAX(D51:F51),D51:F51,0)),"")</f>
        <v/>
      </c>
      <c r="L51">
        <f>IFERROR(INDEX($D$1:$F$1,MATCH(MIN(IF(D51:F51&gt;0,D51:F51)),D51:F51,0)),"")</f>
        <v/>
      </c>
    </row>
    <row r="52">
      <c r="A52" t="inlineStr">
        <is>
          <t>Imperdíveis Pizzas salgadas</t>
        </is>
      </c>
      <c r="B52" t="inlineStr">
        <is>
          <t>Pizza Lombo</t>
        </is>
      </c>
      <c r="C52" t="inlineStr">
        <is>
          <t>Brotinho</t>
        </is>
      </c>
      <c r="D52" s="6">
        <f>SUMIFS(Dados!$E:$E,Dados!$B:$B,$B52,Dados!$C:$C,$C52,Dados!$D:$D,"iFood")</f>
        <v/>
      </c>
      <c r="E52" s="6">
        <f>SUMIFS(Dados!$E:$E,Dados!$B:$B,$B52,Dados!$C:$C,$C52,Dados!$D:$D,"Loja (Retirada)")</f>
        <v/>
      </c>
      <c r="F52" s="6">
        <f>SUMIFS(Dados!$E:$E,Dados!$B:$B,$B52,Dados!$C:$C,$C52,Dados!$D:$D,"Keeta")</f>
        <v/>
      </c>
      <c r="G52" s="6">
        <f>IFERROR(IF(E52=0,"",D52-E52),"")</f>
        <v/>
      </c>
      <c r="H52" s="7">
        <f>IFERROR(IF(E52=0,"",(D52-E52)/E52),"")</f>
        <v/>
      </c>
      <c r="I52" s="6">
        <f>IFERROR(IF(E52=0,"",F52-E52),"")</f>
        <v/>
      </c>
      <c r="J52" s="7">
        <f>IFERROR(IF(E52=0,"",(F52-E52)/E52),"")</f>
        <v/>
      </c>
      <c r="K52">
        <f>IFERROR(INDEX($D$1:$F$1,MATCH(MAX(D52:F52),D52:F52,0)),"")</f>
        <v/>
      </c>
      <c r="L52">
        <f>IFERROR(INDEX($D$1:$F$1,MATCH(MIN(IF(D52:F52&gt;0,D52:F52)),D52:F52,0)),"")</f>
        <v/>
      </c>
    </row>
    <row r="53">
      <c r="A53" t="inlineStr">
        <is>
          <t>Imperdíveis Pizzas salgadas</t>
        </is>
      </c>
      <c r="B53" t="inlineStr">
        <is>
          <t>Pizza Lombo</t>
        </is>
      </c>
      <c r="C53" t="inlineStr">
        <is>
          <t>Grande</t>
        </is>
      </c>
      <c r="D53" s="6">
        <f>SUMIFS(Dados!$E:$E,Dados!$B:$B,$B53,Dados!$C:$C,$C53,Dados!$D:$D,"iFood")</f>
        <v/>
      </c>
      <c r="E53" s="6">
        <f>SUMIFS(Dados!$E:$E,Dados!$B:$B,$B53,Dados!$C:$C,$C53,Dados!$D:$D,"Loja (Retirada)")</f>
        <v/>
      </c>
      <c r="F53" s="6">
        <f>SUMIFS(Dados!$E:$E,Dados!$B:$B,$B53,Dados!$C:$C,$C53,Dados!$D:$D,"Keeta")</f>
        <v/>
      </c>
      <c r="G53" s="6">
        <f>IFERROR(IF(E53=0,"",D53-E53),"")</f>
        <v/>
      </c>
      <c r="H53" s="7">
        <f>IFERROR(IF(E53=0,"",(D53-E53)/E53),"")</f>
        <v/>
      </c>
      <c r="I53" s="6">
        <f>IFERROR(IF(E53=0,"",F53-E53),"")</f>
        <v/>
      </c>
      <c r="J53" s="7">
        <f>IFERROR(IF(E53=0,"",(F53-E53)/E53),"")</f>
        <v/>
      </c>
      <c r="K53">
        <f>IFERROR(INDEX($D$1:$F$1,MATCH(MAX(D53:F53),D53:F53,0)),"")</f>
        <v/>
      </c>
      <c r="L53">
        <f>IFERROR(INDEX($D$1:$F$1,MATCH(MIN(IF(D53:F53&gt;0,D53:F53)),D53:F53,0)),"")</f>
        <v/>
      </c>
    </row>
    <row r="54">
      <c r="A54" t="inlineStr">
        <is>
          <t>Imperdíveis Pizzas salgadas</t>
        </is>
      </c>
      <c r="B54" t="inlineStr">
        <is>
          <t>Pizza Light</t>
        </is>
      </c>
      <c r="C54" t="inlineStr">
        <is>
          <t>Brotinho</t>
        </is>
      </c>
      <c r="D54" s="6">
        <f>SUMIFS(Dados!$E:$E,Dados!$B:$B,$B54,Dados!$C:$C,$C54,Dados!$D:$D,"iFood")</f>
        <v/>
      </c>
      <c r="E54" s="6">
        <f>SUMIFS(Dados!$E:$E,Dados!$B:$B,$B54,Dados!$C:$C,$C54,Dados!$D:$D,"Loja (Retirada)")</f>
        <v/>
      </c>
      <c r="F54" s="6">
        <f>SUMIFS(Dados!$E:$E,Dados!$B:$B,$B54,Dados!$C:$C,$C54,Dados!$D:$D,"Keeta")</f>
        <v/>
      </c>
      <c r="G54" s="6">
        <f>IFERROR(IF(E54=0,"",D54-E54),"")</f>
        <v/>
      </c>
      <c r="H54" s="7">
        <f>IFERROR(IF(E54=0,"",(D54-E54)/E54),"")</f>
        <v/>
      </c>
      <c r="I54" s="6">
        <f>IFERROR(IF(E54=0,"",F54-E54),"")</f>
        <v/>
      </c>
      <c r="J54" s="7">
        <f>IFERROR(IF(E54=0,"",(F54-E54)/E54),"")</f>
        <v/>
      </c>
      <c r="K54">
        <f>IFERROR(INDEX($D$1:$F$1,MATCH(MAX(D54:F54),D54:F54,0)),"")</f>
        <v/>
      </c>
      <c r="L54">
        <f>IFERROR(INDEX($D$1:$F$1,MATCH(MIN(IF(D54:F54&gt;0,D54:F54)),D54:F54,0)),"")</f>
        <v/>
      </c>
    </row>
    <row r="55">
      <c r="A55" t="inlineStr">
        <is>
          <t>Imperdíveis Pizzas salgadas</t>
        </is>
      </c>
      <c r="B55" t="inlineStr">
        <is>
          <t>Pizza Light</t>
        </is>
      </c>
      <c r="C55" t="inlineStr">
        <is>
          <t>Grande</t>
        </is>
      </c>
      <c r="D55" s="6">
        <f>SUMIFS(Dados!$E:$E,Dados!$B:$B,$B55,Dados!$C:$C,$C55,Dados!$D:$D,"iFood")</f>
        <v/>
      </c>
      <c r="E55" s="6">
        <f>SUMIFS(Dados!$E:$E,Dados!$B:$B,$B55,Dados!$C:$C,$C55,Dados!$D:$D,"Loja (Retirada)")</f>
        <v/>
      </c>
      <c r="F55" s="6">
        <f>SUMIFS(Dados!$E:$E,Dados!$B:$B,$B55,Dados!$C:$C,$C55,Dados!$D:$D,"Keeta")</f>
        <v/>
      </c>
      <c r="G55" s="6">
        <f>IFERROR(IF(E55=0,"",D55-E55),"")</f>
        <v/>
      </c>
      <c r="H55" s="7">
        <f>IFERROR(IF(E55=0,"",(D55-E55)/E55),"")</f>
        <v/>
      </c>
      <c r="I55" s="6">
        <f>IFERROR(IF(E55=0,"",F55-E55),"")</f>
        <v/>
      </c>
      <c r="J55" s="7">
        <f>IFERROR(IF(E55=0,"",(F55-E55)/E55),"")</f>
        <v/>
      </c>
      <c r="K55">
        <f>IFERROR(INDEX($D$1:$F$1,MATCH(MAX(D55:F55),D55:F55,0)),"")</f>
        <v/>
      </c>
      <c r="L55">
        <f>IFERROR(INDEX($D$1:$F$1,MATCH(MIN(IF(D55:F55&gt;0,D55:F55)),D55:F55,0)),"")</f>
        <v/>
      </c>
    </row>
    <row r="56">
      <c r="A56" t="inlineStr">
        <is>
          <t>Imperdíveis Pizzas salgadas</t>
        </is>
      </c>
      <c r="B56" t="inlineStr">
        <is>
          <t>Pizza Jardineira</t>
        </is>
      </c>
      <c r="C56" t="inlineStr">
        <is>
          <t>Brotinho</t>
        </is>
      </c>
      <c r="D56" s="6">
        <f>SUMIFS(Dados!$E:$E,Dados!$B:$B,$B56,Dados!$C:$C,$C56,Dados!$D:$D,"iFood")</f>
        <v/>
      </c>
      <c r="E56" s="6">
        <f>SUMIFS(Dados!$E:$E,Dados!$B:$B,$B56,Dados!$C:$C,$C56,Dados!$D:$D,"Loja (Retirada)")</f>
        <v/>
      </c>
      <c r="F56" s="6">
        <f>SUMIFS(Dados!$E:$E,Dados!$B:$B,$B56,Dados!$C:$C,$C56,Dados!$D:$D,"Keeta")</f>
        <v/>
      </c>
      <c r="G56" s="6">
        <f>IFERROR(IF(E56=0,"",D56-E56),"")</f>
        <v/>
      </c>
      <c r="H56" s="7">
        <f>IFERROR(IF(E56=0,"",(D56-E56)/E56),"")</f>
        <v/>
      </c>
      <c r="I56" s="6">
        <f>IFERROR(IF(E56=0,"",F56-E56),"")</f>
        <v/>
      </c>
      <c r="J56" s="7">
        <f>IFERROR(IF(E56=0,"",(F56-E56)/E56),"")</f>
        <v/>
      </c>
      <c r="K56">
        <f>IFERROR(INDEX($D$1:$F$1,MATCH(MAX(D56:F56),D56:F56,0)),"")</f>
        <v/>
      </c>
      <c r="L56">
        <f>IFERROR(INDEX($D$1:$F$1,MATCH(MIN(IF(D56:F56&gt;0,D56:F56)),D56:F56,0)),"")</f>
        <v/>
      </c>
    </row>
    <row r="57">
      <c r="A57" t="inlineStr">
        <is>
          <t>Imperdíveis Pizzas salgadas</t>
        </is>
      </c>
      <c r="B57" t="inlineStr">
        <is>
          <t>Pizza Jardineira</t>
        </is>
      </c>
      <c r="C57" t="inlineStr">
        <is>
          <t>Grande</t>
        </is>
      </c>
      <c r="D57" s="6">
        <f>SUMIFS(Dados!$E:$E,Dados!$B:$B,$B57,Dados!$C:$C,$C57,Dados!$D:$D,"iFood")</f>
        <v/>
      </c>
      <c r="E57" s="6">
        <f>SUMIFS(Dados!$E:$E,Dados!$B:$B,$B57,Dados!$C:$C,$C57,Dados!$D:$D,"Loja (Retirada)")</f>
        <v/>
      </c>
      <c r="F57" s="6">
        <f>SUMIFS(Dados!$E:$E,Dados!$B:$B,$B57,Dados!$C:$C,$C57,Dados!$D:$D,"Keeta")</f>
        <v/>
      </c>
      <c r="G57" s="6">
        <f>IFERROR(IF(E57=0,"",D57-E57),"")</f>
        <v/>
      </c>
      <c r="H57" s="7">
        <f>IFERROR(IF(E57=0,"",(D57-E57)/E57),"")</f>
        <v/>
      </c>
      <c r="I57" s="6">
        <f>IFERROR(IF(E57=0,"",F57-E57),"")</f>
        <v/>
      </c>
      <c r="J57" s="7">
        <f>IFERROR(IF(E57=0,"",(F57-E57)/E57),"")</f>
        <v/>
      </c>
      <c r="K57">
        <f>IFERROR(INDEX($D$1:$F$1,MATCH(MAX(D57:F57),D57:F57,0)),"")</f>
        <v/>
      </c>
      <c r="L57">
        <f>IFERROR(INDEX($D$1:$F$1,MATCH(MIN(IF(D57:F57&gt;0,D57:F57)),D57:F57,0)),"")</f>
        <v/>
      </c>
    </row>
    <row r="58">
      <c r="A58" t="inlineStr">
        <is>
          <t>Imperdíveis Pizzas salgadas</t>
        </is>
      </c>
      <c r="B58" t="inlineStr">
        <is>
          <t>Pizza Frango Especial</t>
        </is>
      </c>
      <c r="C58" t="inlineStr">
        <is>
          <t>Brotinho</t>
        </is>
      </c>
      <c r="D58" s="6">
        <f>SUMIFS(Dados!$E:$E,Dados!$B:$B,$B58,Dados!$C:$C,$C58,Dados!$D:$D,"iFood")</f>
        <v/>
      </c>
      <c r="E58" s="6">
        <f>SUMIFS(Dados!$E:$E,Dados!$B:$B,$B58,Dados!$C:$C,$C58,Dados!$D:$D,"Loja (Retirada)")</f>
        <v/>
      </c>
      <c r="F58" s="6">
        <f>SUMIFS(Dados!$E:$E,Dados!$B:$B,$B58,Dados!$C:$C,$C58,Dados!$D:$D,"Keeta")</f>
        <v/>
      </c>
      <c r="G58" s="6">
        <f>IFERROR(IF(E58=0,"",D58-E58),"")</f>
        <v/>
      </c>
      <c r="H58" s="7">
        <f>IFERROR(IF(E58=0,"",(D58-E58)/E58),"")</f>
        <v/>
      </c>
      <c r="I58" s="6">
        <f>IFERROR(IF(E58=0,"",F58-E58),"")</f>
        <v/>
      </c>
      <c r="J58" s="7">
        <f>IFERROR(IF(E58=0,"",(F58-E58)/E58),"")</f>
        <v/>
      </c>
      <c r="K58">
        <f>IFERROR(INDEX($D$1:$F$1,MATCH(MAX(D58:F58),D58:F58,0)),"")</f>
        <v/>
      </c>
      <c r="L58">
        <f>IFERROR(INDEX($D$1:$F$1,MATCH(MIN(IF(D58:F58&gt;0,D58:F58)),D58:F58,0)),"")</f>
        <v/>
      </c>
    </row>
    <row r="59">
      <c r="A59" t="inlineStr">
        <is>
          <t>Imperdíveis Pizzas salgadas</t>
        </is>
      </c>
      <c r="B59" t="inlineStr">
        <is>
          <t>Pizza Frango Especial</t>
        </is>
      </c>
      <c r="C59" t="inlineStr">
        <is>
          <t>Grande</t>
        </is>
      </c>
      <c r="D59" s="6">
        <f>SUMIFS(Dados!$E:$E,Dados!$B:$B,$B59,Dados!$C:$C,$C59,Dados!$D:$D,"iFood")</f>
        <v/>
      </c>
      <c r="E59" s="6">
        <f>SUMIFS(Dados!$E:$E,Dados!$B:$B,$B59,Dados!$C:$C,$C59,Dados!$D:$D,"Loja (Retirada)")</f>
        <v/>
      </c>
      <c r="F59" s="6">
        <f>SUMIFS(Dados!$E:$E,Dados!$B:$B,$B59,Dados!$C:$C,$C59,Dados!$D:$D,"Keeta")</f>
        <v/>
      </c>
      <c r="G59" s="6">
        <f>IFERROR(IF(E59=0,"",D59-E59),"")</f>
        <v/>
      </c>
      <c r="H59" s="7">
        <f>IFERROR(IF(E59=0,"",(D59-E59)/E59),"")</f>
        <v/>
      </c>
      <c r="I59" s="6">
        <f>IFERROR(IF(E59=0,"",F59-E59),"")</f>
        <v/>
      </c>
      <c r="J59" s="7">
        <f>IFERROR(IF(E59=0,"",(F59-E59)/E59),"")</f>
        <v/>
      </c>
      <c r="K59">
        <f>IFERROR(INDEX($D$1:$F$1,MATCH(MAX(D59:F59),D59:F59,0)),"")</f>
        <v/>
      </c>
      <c r="L59">
        <f>IFERROR(INDEX($D$1:$F$1,MATCH(MIN(IF(D59:F59&gt;0,D59:F59)),D59:F59,0)),"")</f>
        <v/>
      </c>
    </row>
    <row r="60">
      <c r="A60" t="inlineStr">
        <is>
          <t>Imperdíveis Pizzas salgadas</t>
        </is>
      </c>
      <c r="B60" t="inlineStr">
        <is>
          <t>Pizza Frango Catupiry</t>
        </is>
      </c>
      <c r="C60" t="inlineStr">
        <is>
          <t>Brotinho</t>
        </is>
      </c>
      <c r="D60" s="6">
        <f>SUMIFS(Dados!$E:$E,Dados!$B:$B,$B60,Dados!$C:$C,$C60,Dados!$D:$D,"iFood")</f>
        <v/>
      </c>
      <c r="E60" s="6">
        <f>SUMIFS(Dados!$E:$E,Dados!$B:$B,$B60,Dados!$C:$C,$C60,Dados!$D:$D,"Loja (Retirada)")</f>
        <v/>
      </c>
      <c r="F60" s="6">
        <f>SUMIFS(Dados!$E:$E,Dados!$B:$B,$B60,Dados!$C:$C,$C60,Dados!$D:$D,"Keeta")</f>
        <v/>
      </c>
      <c r="G60" s="6">
        <f>IFERROR(IF(E60=0,"",D60-E60),"")</f>
        <v/>
      </c>
      <c r="H60" s="7">
        <f>IFERROR(IF(E60=0,"",(D60-E60)/E60),"")</f>
        <v/>
      </c>
      <c r="I60" s="6">
        <f>IFERROR(IF(E60=0,"",F60-E60),"")</f>
        <v/>
      </c>
      <c r="J60" s="7">
        <f>IFERROR(IF(E60=0,"",(F60-E60)/E60),"")</f>
        <v/>
      </c>
      <c r="K60">
        <f>IFERROR(INDEX($D$1:$F$1,MATCH(MAX(D60:F60),D60:F60,0)),"")</f>
        <v/>
      </c>
      <c r="L60">
        <f>IFERROR(INDEX($D$1:$F$1,MATCH(MIN(IF(D60:F60&gt;0,D60:F60)),D60:F60,0)),"")</f>
        <v/>
      </c>
    </row>
    <row r="61">
      <c r="A61" t="inlineStr">
        <is>
          <t>Imperdíveis Pizzas salgadas</t>
        </is>
      </c>
      <c r="B61" t="inlineStr">
        <is>
          <t>Pizza Frango Catupiry</t>
        </is>
      </c>
      <c r="C61" t="inlineStr">
        <is>
          <t>Grande</t>
        </is>
      </c>
      <c r="D61" s="6">
        <f>SUMIFS(Dados!$E:$E,Dados!$B:$B,$B61,Dados!$C:$C,$C61,Dados!$D:$D,"iFood")</f>
        <v/>
      </c>
      <c r="E61" s="6">
        <f>SUMIFS(Dados!$E:$E,Dados!$B:$B,$B61,Dados!$C:$C,$C61,Dados!$D:$D,"Loja (Retirada)")</f>
        <v/>
      </c>
      <c r="F61" s="6">
        <f>SUMIFS(Dados!$E:$E,Dados!$B:$B,$B61,Dados!$C:$C,$C61,Dados!$D:$D,"Keeta")</f>
        <v/>
      </c>
      <c r="G61" s="6">
        <f>IFERROR(IF(E61=0,"",D61-E61),"")</f>
        <v/>
      </c>
      <c r="H61" s="7">
        <f>IFERROR(IF(E61=0,"",(D61-E61)/E61),"")</f>
        <v/>
      </c>
      <c r="I61" s="6">
        <f>IFERROR(IF(E61=0,"",F61-E61),"")</f>
        <v/>
      </c>
      <c r="J61" s="7">
        <f>IFERROR(IF(E61=0,"",(F61-E61)/E61),"")</f>
        <v/>
      </c>
      <c r="K61">
        <f>IFERROR(INDEX($D$1:$F$1,MATCH(MAX(D61:F61),D61:F61,0)),"")</f>
        <v/>
      </c>
      <c r="L61">
        <f>IFERROR(INDEX($D$1:$F$1,MATCH(MIN(IF(D61:F61&gt;0,D61:F61)),D61:F61,0)),"")</f>
        <v/>
      </c>
    </row>
    <row r="62">
      <c r="A62" t="inlineStr">
        <is>
          <t>Imperdíveis Pizzas salgadas</t>
        </is>
      </c>
      <c r="B62" t="inlineStr">
        <is>
          <t>Pizza Filé Mignon</t>
        </is>
      </c>
      <c r="C62" t="inlineStr">
        <is>
          <t>Brotinho</t>
        </is>
      </c>
      <c r="D62" s="6">
        <f>SUMIFS(Dados!$E:$E,Dados!$B:$B,$B62,Dados!$C:$C,$C62,Dados!$D:$D,"iFood")</f>
        <v/>
      </c>
      <c r="E62" s="6">
        <f>SUMIFS(Dados!$E:$E,Dados!$B:$B,$B62,Dados!$C:$C,$C62,Dados!$D:$D,"Loja (Retirada)")</f>
        <v/>
      </c>
      <c r="F62" s="6">
        <f>SUMIFS(Dados!$E:$E,Dados!$B:$B,$B62,Dados!$C:$C,$C62,Dados!$D:$D,"Keeta")</f>
        <v/>
      </c>
      <c r="G62" s="6">
        <f>IFERROR(IF(E62=0,"",D62-E62),"")</f>
        <v/>
      </c>
      <c r="H62" s="7">
        <f>IFERROR(IF(E62=0,"",(D62-E62)/E62),"")</f>
        <v/>
      </c>
      <c r="I62" s="6">
        <f>IFERROR(IF(E62=0,"",F62-E62),"")</f>
        <v/>
      </c>
      <c r="J62" s="7">
        <f>IFERROR(IF(E62=0,"",(F62-E62)/E62),"")</f>
        <v/>
      </c>
      <c r="K62">
        <f>IFERROR(INDEX($D$1:$F$1,MATCH(MAX(D62:F62),D62:F62,0)),"")</f>
        <v/>
      </c>
      <c r="L62">
        <f>IFERROR(INDEX($D$1:$F$1,MATCH(MIN(IF(D62:F62&gt;0,D62:F62)),D62:F62,0)),"")</f>
        <v/>
      </c>
    </row>
    <row r="63">
      <c r="A63" t="inlineStr">
        <is>
          <t>Imperdíveis Pizzas salgadas</t>
        </is>
      </c>
      <c r="B63" t="inlineStr">
        <is>
          <t>Pizza Filé Mignon</t>
        </is>
      </c>
      <c r="C63" t="inlineStr">
        <is>
          <t>Grande</t>
        </is>
      </c>
      <c r="D63" s="6">
        <f>SUMIFS(Dados!$E:$E,Dados!$B:$B,$B63,Dados!$C:$C,$C63,Dados!$D:$D,"iFood")</f>
        <v/>
      </c>
      <c r="E63" s="6">
        <f>SUMIFS(Dados!$E:$E,Dados!$B:$B,$B63,Dados!$C:$C,$C63,Dados!$D:$D,"Loja (Retirada)")</f>
        <v/>
      </c>
      <c r="F63" s="6">
        <f>SUMIFS(Dados!$E:$E,Dados!$B:$B,$B63,Dados!$C:$C,$C63,Dados!$D:$D,"Keeta")</f>
        <v/>
      </c>
      <c r="G63" s="6">
        <f>IFERROR(IF(E63=0,"",D63-E63),"")</f>
        <v/>
      </c>
      <c r="H63" s="7">
        <f>IFERROR(IF(E63=0,"",(D63-E63)/E63),"")</f>
        <v/>
      </c>
      <c r="I63" s="6">
        <f>IFERROR(IF(E63=0,"",F63-E63),"")</f>
        <v/>
      </c>
      <c r="J63" s="7">
        <f>IFERROR(IF(E63=0,"",(F63-E63)/E63),"")</f>
        <v/>
      </c>
      <c r="K63">
        <f>IFERROR(INDEX($D$1:$F$1,MATCH(MAX(D63:F63),D63:F63,0)),"")</f>
        <v/>
      </c>
      <c r="L63">
        <f>IFERROR(INDEX($D$1:$F$1,MATCH(MIN(IF(D63:F63&gt;0,D63:F63)),D63:F63,0)),"")</f>
        <v/>
      </c>
    </row>
    <row r="64">
      <c r="A64" t="inlineStr">
        <is>
          <t>Imperdíveis Pizzas salgadas</t>
        </is>
      </c>
      <c r="B64" t="inlineStr">
        <is>
          <t>Pizza Favorita</t>
        </is>
      </c>
      <c r="C64" t="inlineStr">
        <is>
          <t>Brotinho</t>
        </is>
      </c>
      <c r="D64" s="6">
        <f>SUMIFS(Dados!$E:$E,Dados!$B:$B,$B64,Dados!$C:$C,$C64,Dados!$D:$D,"iFood")</f>
        <v/>
      </c>
      <c r="E64" s="6">
        <f>SUMIFS(Dados!$E:$E,Dados!$B:$B,$B64,Dados!$C:$C,$C64,Dados!$D:$D,"Loja (Retirada)")</f>
        <v/>
      </c>
      <c r="F64" s="6">
        <f>SUMIFS(Dados!$E:$E,Dados!$B:$B,$B64,Dados!$C:$C,$C64,Dados!$D:$D,"Keeta")</f>
        <v/>
      </c>
      <c r="G64" s="6">
        <f>IFERROR(IF(E64=0,"",D64-E64),"")</f>
        <v/>
      </c>
      <c r="H64" s="7">
        <f>IFERROR(IF(E64=0,"",(D64-E64)/E64),"")</f>
        <v/>
      </c>
      <c r="I64" s="6">
        <f>IFERROR(IF(E64=0,"",F64-E64),"")</f>
        <v/>
      </c>
      <c r="J64" s="7">
        <f>IFERROR(IF(E64=0,"",(F64-E64)/E64),"")</f>
        <v/>
      </c>
      <c r="K64">
        <f>IFERROR(INDEX($D$1:$F$1,MATCH(MAX(D64:F64),D64:F64,0)),"")</f>
        <v/>
      </c>
      <c r="L64">
        <f>IFERROR(INDEX($D$1:$F$1,MATCH(MIN(IF(D64:F64&gt;0,D64:F64)),D64:F64,0)),"")</f>
        <v/>
      </c>
    </row>
    <row r="65">
      <c r="A65" t="inlineStr">
        <is>
          <t>Imperdíveis Pizzas salgadas</t>
        </is>
      </c>
      <c r="B65" t="inlineStr">
        <is>
          <t>Pizza Favorita</t>
        </is>
      </c>
      <c r="C65" t="inlineStr">
        <is>
          <t>Grande</t>
        </is>
      </c>
      <c r="D65" s="6">
        <f>SUMIFS(Dados!$E:$E,Dados!$B:$B,$B65,Dados!$C:$C,$C65,Dados!$D:$D,"iFood")</f>
        <v/>
      </c>
      <c r="E65" s="6">
        <f>SUMIFS(Dados!$E:$E,Dados!$B:$B,$B65,Dados!$C:$C,$C65,Dados!$D:$D,"Loja (Retirada)")</f>
        <v/>
      </c>
      <c r="F65" s="6">
        <f>SUMIFS(Dados!$E:$E,Dados!$B:$B,$B65,Dados!$C:$C,$C65,Dados!$D:$D,"Keeta")</f>
        <v/>
      </c>
      <c r="G65" s="6">
        <f>IFERROR(IF(E65=0,"",D65-E65),"")</f>
        <v/>
      </c>
      <c r="H65" s="7">
        <f>IFERROR(IF(E65=0,"",(D65-E65)/E65),"")</f>
        <v/>
      </c>
      <c r="I65" s="6">
        <f>IFERROR(IF(E65=0,"",F65-E65),"")</f>
        <v/>
      </c>
      <c r="J65" s="7">
        <f>IFERROR(IF(E65=0,"",(F65-E65)/E65),"")</f>
        <v/>
      </c>
      <c r="K65">
        <f>IFERROR(INDEX($D$1:$F$1,MATCH(MAX(D65:F65),D65:F65,0)),"")</f>
        <v/>
      </c>
      <c r="L65">
        <f>IFERROR(INDEX($D$1:$F$1,MATCH(MIN(IF(D65:F65&gt;0,D65:F65)),D65:F65,0)),"")</f>
        <v/>
      </c>
    </row>
    <row r="66">
      <c r="A66" t="inlineStr">
        <is>
          <t>Imperdíveis Pizzas salgadas</t>
        </is>
      </c>
      <c r="B66" t="inlineStr">
        <is>
          <t>Pizza Executiva</t>
        </is>
      </c>
      <c r="C66" t="inlineStr">
        <is>
          <t>Brotinho</t>
        </is>
      </c>
      <c r="D66" s="6">
        <f>SUMIFS(Dados!$E:$E,Dados!$B:$B,$B66,Dados!$C:$C,$C66,Dados!$D:$D,"iFood")</f>
        <v/>
      </c>
      <c r="E66" s="6">
        <f>SUMIFS(Dados!$E:$E,Dados!$B:$B,$B66,Dados!$C:$C,$C66,Dados!$D:$D,"Loja (Retirada)")</f>
        <v/>
      </c>
      <c r="F66" s="6">
        <f>SUMIFS(Dados!$E:$E,Dados!$B:$B,$B66,Dados!$C:$C,$C66,Dados!$D:$D,"Keeta")</f>
        <v/>
      </c>
      <c r="G66" s="6">
        <f>IFERROR(IF(E66=0,"",D66-E66),"")</f>
        <v/>
      </c>
      <c r="H66" s="7">
        <f>IFERROR(IF(E66=0,"",(D66-E66)/E66),"")</f>
        <v/>
      </c>
      <c r="I66" s="6">
        <f>IFERROR(IF(E66=0,"",F66-E66),"")</f>
        <v/>
      </c>
      <c r="J66" s="7">
        <f>IFERROR(IF(E66=0,"",(F66-E66)/E66),"")</f>
        <v/>
      </c>
      <c r="K66">
        <f>IFERROR(INDEX($D$1:$F$1,MATCH(MAX(D66:F66),D66:F66,0)),"")</f>
        <v/>
      </c>
      <c r="L66">
        <f>IFERROR(INDEX($D$1:$F$1,MATCH(MIN(IF(D66:F66&gt;0,D66:F66)),D66:F66,0)),"")</f>
        <v/>
      </c>
    </row>
    <row r="67">
      <c r="A67" t="inlineStr">
        <is>
          <t>Imperdíveis Pizzas salgadas</t>
        </is>
      </c>
      <c r="B67" t="inlineStr">
        <is>
          <t>Pizza Executiva</t>
        </is>
      </c>
      <c r="C67" t="inlineStr">
        <is>
          <t>Grande</t>
        </is>
      </c>
      <c r="D67" s="6">
        <f>SUMIFS(Dados!$E:$E,Dados!$B:$B,$B67,Dados!$C:$C,$C67,Dados!$D:$D,"iFood")</f>
        <v/>
      </c>
      <c r="E67" s="6">
        <f>SUMIFS(Dados!$E:$E,Dados!$B:$B,$B67,Dados!$C:$C,$C67,Dados!$D:$D,"Loja (Retirada)")</f>
        <v/>
      </c>
      <c r="F67" s="6">
        <f>SUMIFS(Dados!$E:$E,Dados!$B:$B,$B67,Dados!$C:$C,$C67,Dados!$D:$D,"Keeta")</f>
        <v/>
      </c>
      <c r="G67" s="6">
        <f>IFERROR(IF(E67=0,"",D67-E67),"")</f>
        <v/>
      </c>
      <c r="H67" s="7">
        <f>IFERROR(IF(E67=0,"",(D67-E67)/E67),"")</f>
        <v/>
      </c>
      <c r="I67" s="6">
        <f>IFERROR(IF(E67=0,"",F67-E67),"")</f>
        <v/>
      </c>
      <c r="J67" s="7">
        <f>IFERROR(IF(E67=0,"",(F67-E67)/E67),"")</f>
        <v/>
      </c>
      <c r="K67">
        <f>IFERROR(INDEX($D$1:$F$1,MATCH(MAX(D67:F67),D67:F67,0)),"")</f>
        <v/>
      </c>
      <c r="L67">
        <f>IFERROR(INDEX($D$1:$F$1,MATCH(MIN(IF(D67:F67&gt;0,D67:F67)),D67:F67,0)),"")</f>
        <v/>
      </c>
    </row>
    <row r="68">
      <c r="A68" t="inlineStr">
        <is>
          <t>Imperdíveis Pizzas salgadas</t>
        </is>
      </c>
      <c r="B68" t="inlineStr">
        <is>
          <t>Pizza Especial</t>
        </is>
      </c>
      <c r="C68" t="inlineStr">
        <is>
          <t>Brotinho</t>
        </is>
      </c>
      <c r="D68" s="6">
        <f>SUMIFS(Dados!$E:$E,Dados!$B:$B,$B68,Dados!$C:$C,$C68,Dados!$D:$D,"iFood")</f>
        <v/>
      </c>
      <c r="E68" s="6">
        <f>SUMIFS(Dados!$E:$E,Dados!$B:$B,$B68,Dados!$C:$C,$C68,Dados!$D:$D,"Loja (Retirada)")</f>
        <v/>
      </c>
      <c r="F68" s="6">
        <f>SUMIFS(Dados!$E:$E,Dados!$B:$B,$B68,Dados!$C:$C,$C68,Dados!$D:$D,"Keeta")</f>
        <v/>
      </c>
      <c r="G68" s="6">
        <f>IFERROR(IF(E68=0,"",D68-E68),"")</f>
        <v/>
      </c>
      <c r="H68" s="7">
        <f>IFERROR(IF(E68=0,"",(D68-E68)/E68),"")</f>
        <v/>
      </c>
      <c r="I68" s="6">
        <f>IFERROR(IF(E68=0,"",F68-E68),"")</f>
        <v/>
      </c>
      <c r="J68" s="7">
        <f>IFERROR(IF(E68=0,"",(F68-E68)/E68),"")</f>
        <v/>
      </c>
      <c r="K68">
        <f>IFERROR(INDEX($D$1:$F$1,MATCH(MAX(D68:F68),D68:F68,0)),"")</f>
        <v/>
      </c>
      <c r="L68">
        <f>IFERROR(INDEX($D$1:$F$1,MATCH(MIN(IF(D68:F68&gt;0,D68:F68)),D68:F68,0)),"")</f>
        <v/>
      </c>
    </row>
    <row r="69">
      <c r="A69" t="inlineStr">
        <is>
          <t>Imperdíveis Pizzas salgadas</t>
        </is>
      </c>
      <c r="B69" t="inlineStr">
        <is>
          <t>Pizza Especial</t>
        </is>
      </c>
      <c r="C69" t="inlineStr">
        <is>
          <t>Grande</t>
        </is>
      </c>
      <c r="D69" s="6">
        <f>SUMIFS(Dados!$E:$E,Dados!$B:$B,$B69,Dados!$C:$C,$C69,Dados!$D:$D,"iFood")</f>
        <v/>
      </c>
      <c r="E69" s="6">
        <f>SUMIFS(Dados!$E:$E,Dados!$B:$B,$B69,Dados!$C:$C,$C69,Dados!$D:$D,"Loja (Retirada)")</f>
        <v/>
      </c>
      <c r="F69" s="6">
        <f>SUMIFS(Dados!$E:$E,Dados!$B:$B,$B69,Dados!$C:$C,$C69,Dados!$D:$D,"Keeta")</f>
        <v/>
      </c>
      <c r="G69" s="6">
        <f>IFERROR(IF(E69=0,"",D69-E69),"")</f>
        <v/>
      </c>
      <c r="H69" s="7">
        <f>IFERROR(IF(E69=0,"",(D69-E69)/E69),"")</f>
        <v/>
      </c>
      <c r="I69" s="6">
        <f>IFERROR(IF(E69=0,"",F69-E69),"")</f>
        <v/>
      </c>
      <c r="J69" s="7">
        <f>IFERROR(IF(E69=0,"",(F69-E69)/E69),"")</f>
        <v/>
      </c>
      <c r="K69">
        <f>IFERROR(INDEX($D$1:$F$1,MATCH(MAX(D69:F69),D69:F69,0)),"")</f>
        <v/>
      </c>
      <c r="L69">
        <f>IFERROR(INDEX($D$1:$F$1,MATCH(MIN(IF(D69:F69&gt;0,D69:F69)),D69:F69,0)),"")</f>
        <v/>
      </c>
    </row>
    <row r="70">
      <c r="A70" t="inlineStr">
        <is>
          <t>Imperdíveis Pizzas salgadas</t>
        </is>
      </c>
      <c r="B70" t="inlineStr">
        <is>
          <t>Pizza Espanhola</t>
        </is>
      </c>
      <c r="C70" t="inlineStr">
        <is>
          <t>Brotinho</t>
        </is>
      </c>
      <c r="D70" s="6">
        <f>SUMIFS(Dados!$E:$E,Dados!$B:$B,$B70,Dados!$C:$C,$C70,Dados!$D:$D,"iFood")</f>
        <v/>
      </c>
      <c r="E70" s="6">
        <f>SUMIFS(Dados!$E:$E,Dados!$B:$B,$B70,Dados!$C:$C,$C70,Dados!$D:$D,"Loja (Retirada)")</f>
        <v/>
      </c>
      <c r="F70" s="6">
        <f>SUMIFS(Dados!$E:$E,Dados!$B:$B,$B70,Dados!$C:$C,$C70,Dados!$D:$D,"Keeta")</f>
        <v/>
      </c>
      <c r="G70" s="6">
        <f>IFERROR(IF(E70=0,"",D70-E70),"")</f>
        <v/>
      </c>
      <c r="H70" s="7">
        <f>IFERROR(IF(E70=0,"",(D70-E70)/E70),"")</f>
        <v/>
      </c>
      <c r="I70" s="6">
        <f>IFERROR(IF(E70=0,"",F70-E70),"")</f>
        <v/>
      </c>
      <c r="J70" s="7">
        <f>IFERROR(IF(E70=0,"",(F70-E70)/E70),"")</f>
        <v/>
      </c>
      <c r="K70">
        <f>IFERROR(INDEX($D$1:$F$1,MATCH(MAX(D70:F70),D70:F70,0)),"")</f>
        <v/>
      </c>
      <c r="L70">
        <f>IFERROR(INDEX($D$1:$F$1,MATCH(MIN(IF(D70:F70&gt;0,D70:F70)),D70:F70,0)),"")</f>
        <v/>
      </c>
    </row>
    <row r="71">
      <c r="A71" t="inlineStr">
        <is>
          <t>Imperdíveis Pizzas salgadas</t>
        </is>
      </c>
      <c r="B71" t="inlineStr">
        <is>
          <t>Pizza Espanhola</t>
        </is>
      </c>
      <c r="C71" t="inlineStr">
        <is>
          <t>Grande</t>
        </is>
      </c>
      <c r="D71" s="6">
        <f>SUMIFS(Dados!$E:$E,Dados!$B:$B,$B71,Dados!$C:$C,$C71,Dados!$D:$D,"iFood")</f>
        <v/>
      </c>
      <c r="E71" s="6">
        <f>SUMIFS(Dados!$E:$E,Dados!$B:$B,$B71,Dados!$C:$C,$C71,Dados!$D:$D,"Loja (Retirada)")</f>
        <v/>
      </c>
      <c r="F71" s="6">
        <f>SUMIFS(Dados!$E:$E,Dados!$B:$B,$B71,Dados!$C:$C,$C71,Dados!$D:$D,"Keeta")</f>
        <v/>
      </c>
      <c r="G71" s="6">
        <f>IFERROR(IF(E71=0,"",D71-E71),"")</f>
        <v/>
      </c>
      <c r="H71" s="7">
        <f>IFERROR(IF(E71=0,"",(D71-E71)/E71),"")</f>
        <v/>
      </c>
      <c r="I71" s="6">
        <f>IFERROR(IF(E71=0,"",F71-E71),"")</f>
        <v/>
      </c>
      <c r="J71" s="7">
        <f>IFERROR(IF(E71=0,"",(F71-E71)/E71),"")</f>
        <v/>
      </c>
      <c r="K71">
        <f>IFERROR(INDEX($D$1:$F$1,MATCH(MAX(D71:F71),D71:F71,0)),"")</f>
        <v/>
      </c>
      <c r="L71">
        <f>IFERROR(INDEX($D$1:$F$1,MATCH(MIN(IF(D71:F71&gt;0,D71:F71)),D71:F71,0)),"")</f>
        <v/>
      </c>
    </row>
    <row r="72">
      <c r="A72" t="inlineStr">
        <is>
          <t>Imperdíveis Pizzas salgadas</t>
        </is>
      </c>
      <c r="B72" t="inlineStr">
        <is>
          <t>Pizza Escarola Especial</t>
        </is>
      </c>
      <c r="C72" t="inlineStr">
        <is>
          <t>Brotinho</t>
        </is>
      </c>
      <c r="D72" s="6">
        <f>SUMIFS(Dados!$E:$E,Dados!$B:$B,$B72,Dados!$C:$C,$C72,Dados!$D:$D,"iFood")</f>
        <v/>
      </c>
      <c r="E72" s="6">
        <f>SUMIFS(Dados!$E:$E,Dados!$B:$B,$B72,Dados!$C:$C,$C72,Dados!$D:$D,"Loja (Retirada)")</f>
        <v/>
      </c>
      <c r="F72" s="6">
        <f>SUMIFS(Dados!$E:$E,Dados!$B:$B,$B72,Dados!$C:$C,$C72,Dados!$D:$D,"Keeta")</f>
        <v/>
      </c>
      <c r="G72" s="6">
        <f>IFERROR(IF(E72=0,"",D72-E72),"")</f>
        <v/>
      </c>
      <c r="H72" s="7">
        <f>IFERROR(IF(E72=0,"",(D72-E72)/E72),"")</f>
        <v/>
      </c>
      <c r="I72" s="6">
        <f>IFERROR(IF(E72=0,"",F72-E72),"")</f>
        <v/>
      </c>
      <c r="J72" s="7">
        <f>IFERROR(IF(E72=0,"",(F72-E72)/E72),"")</f>
        <v/>
      </c>
      <c r="K72">
        <f>IFERROR(INDEX($D$1:$F$1,MATCH(MAX(D72:F72),D72:F72,0)),"")</f>
        <v/>
      </c>
      <c r="L72">
        <f>IFERROR(INDEX($D$1:$F$1,MATCH(MIN(IF(D72:F72&gt;0,D72:F72)),D72:F72,0)),"")</f>
        <v/>
      </c>
    </row>
    <row r="73">
      <c r="A73" t="inlineStr">
        <is>
          <t>Imperdíveis Pizzas salgadas</t>
        </is>
      </c>
      <c r="B73" t="inlineStr">
        <is>
          <t>Pizza Escarola Especial</t>
        </is>
      </c>
      <c r="C73" t="inlineStr">
        <is>
          <t>Grande</t>
        </is>
      </c>
      <c r="D73" s="6">
        <f>SUMIFS(Dados!$E:$E,Dados!$B:$B,$B73,Dados!$C:$C,$C73,Dados!$D:$D,"iFood")</f>
        <v/>
      </c>
      <c r="E73" s="6">
        <f>SUMIFS(Dados!$E:$E,Dados!$B:$B,$B73,Dados!$C:$C,$C73,Dados!$D:$D,"Loja (Retirada)")</f>
        <v/>
      </c>
      <c r="F73" s="6">
        <f>SUMIFS(Dados!$E:$E,Dados!$B:$B,$B73,Dados!$C:$C,$C73,Dados!$D:$D,"Keeta")</f>
        <v/>
      </c>
      <c r="G73" s="6">
        <f>IFERROR(IF(E73=0,"",D73-E73),"")</f>
        <v/>
      </c>
      <c r="H73" s="7">
        <f>IFERROR(IF(E73=0,"",(D73-E73)/E73),"")</f>
        <v/>
      </c>
      <c r="I73" s="6">
        <f>IFERROR(IF(E73=0,"",F73-E73),"")</f>
        <v/>
      </c>
      <c r="J73" s="7">
        <f>IFERROR(IF(E73=0,"",(F73-E73)/E73),"")</f>
        <v/>
      </c>
      <c r="K73">
        <f>IFERROR(INDEX($D$1:$F$1,MATCH(MAX(D73:F73),D73:F73,0)),"")</f>
        <v/>
      </c>
      <c r="L73">
        <f>IFERROR(INDEX($D$1:$F$1,MATCH(MIN(IF(D73:F73&gt;0,D73:F73)),D73:F73,0)),"")</f>
        <v/>
      </c>
    </row>
    <row r="74">
      <c r="A74" t="inlineStr">
        <is>
          <t>Imperdíveis Pizzas salgadas</t>
        </is>
      </c>
      <c r="B74" t="inlineStr">
        <is>
          <t>Pizza Escarola</t>
        </is>
      </c>
      <c r="C74" t="inlineStr">
        <is>
          <t>Brotinho</t>
        </is>
      </c>
      <c r="D74" s="6">
        <f>SUMIFS(Dados!$E:$E,Dados!$B:$B,$B74,Dados!$C:$C,$C74,Dados!$D:$D,"iFood")</f>
        <v/>
      </c>
      <c r="E74" s="6">
        <f>SUMIFS(Dados!$E:$E,Dados!$B:$B,$B74,Dados!$C:$C,$C74,Dados!$D:$D,"Loja (Retirada)")</f>
        <v/>
      </c>
      <c r="F74" s="6">
        <f>SUMIFS(Dados!$E:$E,Dados!$B:$B,$B74,Dados!$C:$C,$C74,Dados!$D:$D,"Keeta")</f>
        <v/>
      </c>
      <c r="G74" s="6">
        <f>IFERROR(IF(E74=0,"",D74-E74),"")</f>
        <v/>
      </c>
      <c r="H74" s="7">
        <f>IFERROR(IF(E74=0,"",(D74-E74)/E74),"")</f>
        <v/>
      </c>
      <c r="I74" s="6">
        <f>IFERROR(IF(E74=0,"",F74-E74),"")</f>
        <v/>
      </c>
      <c r="J74" s="7">
        <f>IFERROR(IF(E74=0,"",(F74-E74)/E74),"")</f>
        <v/>
      </c>
      <c r="K74">
        <f>IFERROR(INDEX($D$1:$F$1,MATCH(MAX(D74:F74),D74:F74,0)),"")</f>
        <v/>
      </c>
      <c r="L74">
        <f>IFERROR(INDEX($D$1:$F$1,MATCH(MIN(IF(D74:F74&gt;0,D74:F74)),D74:F74,0)),"")</f>
        <v/>
      </c>
    </row>
    <row r="75">
      <c r="A75" t="inlineStr">
        <is>
          <t>Imperdíveis Pizzas salgadas</t>
        </is>
      </c>
      <c r="B75" t="inlineStr">
        <is>
          <t>Pizza Escarola</t>
        </is>
      </c>
      <c r="C75" t="inlineStr">
        <is>
          <t>Grande</t>
        </is>
      </c>
      <c r="D75" s="6">
        <f>SUMIFS(Dados!$E:$E,Dados!$B:$B,$B75,Dados!$C:$C,$C75,Dados!$D:$D,"iFood")</f>
        <v/>
      </c>
      <c r="E75" s="6">
        <f>SUMIFS(Dados!$E:$E,Dados!$B:$B,$B75,Dados!$C:$C,$C75,Dados!$D:$D,"Loja (Retirada)")</f>
        <v/>
      </c>
      <c r="F75" s="6">
        <f>SUMIFS(Dados!$E:$E,Dados!$B:$B,$B75,Dados!$C:$C,$C75,Dados!$D:$D,"Keeta")</f>
        <v/>
      </c>
      <c r="G75" s="6">
        <f>IFERROR(IF(E75=0,"",D75-E75),"")</f>
        <v/>
      </c>
      <c r="H75" s="7">
        <f>IFERROR(IF(E75=0,"",(D75-E75)/E75),"")</f>
        <v/>
      </c>
      <c r="I75" s="6">
        <f>IFERROR(IF(E75=0,"",F75-E75),"")</f>
        <v/>
      </c>
      <c r="J75" s="7">
        <f>IFERROR(IF(E75=0,"",(F75-E75)/E75),"")</f>
        <v/>
      </c>
      <c r="K75">
        <f>IFERROR(INDEX($D$1:$F$1,MATCH(MAX(D75:F75),D75:F75,0)),"")</f>
        <v/>
      </c>
      <c r="L75">
        <f>IFERROR(INDEX($D$1:$F$1,MATCH(MIN(IF(D75:F75&gt;0,D75:F75)),D75:F75,0)),"")</f>
        <v/>
      </c>
    </row>
    <row r="76">
      <c r="A76" t="inlineStr">
        <is>
          <t>Imperdíveis Pizzas salgadas</t>
        </is>
      </c>
      <c r="B76" t="inlineStr">
        <is>
          <t>Pizza Do Pizzaiolo</t>
        </is>
      </c>
      <c r="C76" t="inlineStr">
        <is>
          <t>Brotinho</t>
        </is>
      </c>
      <c r="D76" s="6">
        <f>SUMIFS(Dados!$E:$E,Dados!$B:$B,$B76,Dados!$C:$C,$C76,Dados!$D:$D,"iFood")</f>
        <v/>
      </c>
      <c r="E76" s="6">
        <f>SUMIFS(Dados!$E:$E,Dados!$B:$B,$B76,Dados!$C:$C,$C76,Dados!$D:$D,"Loja (Retirada)")</f>
        <v/>
      </c>
      <c r="F76" s="6">
        <f>SUMIFS(Dados!$E:$E,Dados!$B:$B,$B76,Dados!$C:$C,$C76,Dados!$D:$D,"Keeta")</f>
        <v/>
      </c>
      <c r="G76" s="6">
        <f>IFERROR(IF(E76=0,"",D76-E76),"")</f>
        <v/>
      </c>
      <c r="H76" s="7">
        <f>IFERROR(IF(E76=0,"",(D76-E76)/E76),"")</f>
        <v/>
      </c>
      <c r="I76" s="6">
        <f>IFERROR(IF(E76=0,"",F76-E76),"")</f>
        <v/>
      </c>
      <c r="J76" s="7">
        <f>IFERROR(IF(E76=0,"",(F76-E76)/E76),"")</f>
        <v/>
      </c>
      <c r="K76">
        <f>IFERROR(INDEX($D$1:$F$1,MATCH(MAX(D76:F76),D76:F76,0)),"")</f>
        <v/>
      </c>
      <c r="L76">
        <f>IFERROR(INDEX($D$1:$F$1,MATCH(MIN(IF(D76:F76&gt;0,D76:F76)),D76:F76,0)),"")</f>
        <v/>
      </c>
    </row>
    <row r="77">
      <c r="A77" t="inlineStr">
        <is>
          <t>Imperdíveis Pizzas salgadas</t>
        </is>
      </c>
      <c r="B77" t="inlineStr">
        <is>
          <t>Pizza Do Pizzaiolo</t>
        </is>
      </c>
      <c r="C77" t="inlineStr">
        <is>
          <t>Grande</t>
        </is>
      </c>
      <c r="D77" s="6">
        <f>SUMIFS(Dados!$E:$E,Dados!$B:$B,$B77,Dados!$C:$C,$C77,Dados!$D:$D,"iFood")</f>
        <v/>
      </c>
      <c r="E77" s="6">
        <f>SUMIFS(Dados!$E:$E,Dados!$B:$B,$B77,Dados!$C:$C,$C77,Dados!$D:$D,"Loja (Retirada)")</f>
        <v/>
      </c>
      <c r="F77" s="6">
        <f>SUMIFS(Dados!$E:$E,Dados!$B:$B,$B77,Dados!$C:$C,$C77,Dados!$D:$D,"Keeta")</f>
        <v/>
      </c>
      <c r="G77" s="6">
        <f>IFERROR(IF(E77=0,"",D77-E77),"")</f>
        <v/>
      </c>
      <c r="H77" s="7">
        <f>IFERROR(IF(E77=0,"",(D77-E77)/E77),"")</f>
        <v/>
      </c>
      <c r="I77" s="6">
        <f>IFERROR(IF(E77=0,"",F77-E77),"")</f>
        <v/>
      </c>
      <c r="J77" s="7">
        <f>IFERROR(IF(E77=0,"",(F77-E77)/E77),"")</f>
        <v/>
      </c>
      <c r="K77">
        <f>IFERROR(INDEX($D$1:$F$1,MATCH(MAX(D77:F77),D77:F77,0)),"")</f>
        <v/>
      </c>
      <c r="L77">
        <f>IFERROR(INDEX($D$1:$F$1,MATCH(MIN(IF(D77:F77&gt;0,D77:F77)),D77:F77,0)),"")</f>
        <v/>
      </c>
    </row>
    <row r="78">
      <c r="A78" t="inlineStr">
        <is>
          <t>Imperdíveis Pizzas salgadas</t>
        </is>
      </c>
      <c r="B78" t="inlineStr">
        <is>
          <t>Pizza Classic</t>
        </is>
      </c>
      <c r="C78" t="inlineStr">
        <is>
          <t>Brotinho</t>
        </is>
      </c>
      <c r="D78" s="6">
        <f>SUMIFS(Dados!$E:$E,Dados!$B:$B,$B78,Dados!$C:$C,$C78,Dados!$D:$D,"iFood")</f>
        <v/>
      </c>
      <c r="E78" s="6">
        <f>SUMIFS(Dados!$E:$E,Dados!$B:$B,$B78,Dados!$C:$C,$C78,Dados!$D:$D,"Loja (Retirada)")</f>
        <v/>
      </c>
      <c r="F78" s="6">
        <f>SUMIFS(Dados!$E:$E,Dados!$B:$B,$B78,Dados!$C:$C,$C78,Dados!$D:$D,"Keeta")</f>
        <v/>
      </c>
      <c r="G78" s="6">
        <f>IFERROR(IF(E78=0,"",D78-E78),"")</f>
        <v/>
      </c>
      <c r="H78" s="7">
        <f>IFERROR(IF(E78=0,"",(D78-E78)/E78),"")</f>
        <v/>
      </c>
      <c r="I78" s="6">
        <f>IFERROR(IF(E78=0,"",F78-E78),"")</f>
        <v/>
      </c>
      <c r="J78" s="7">
        <f>IFERROR(IF(E78=0,"",(F78-E78)/E78),"")</f>
        <v/>
      </c>
      <c r="K78">
        <f>IFERROR(INDEX($D$1:$F$1,MATCH(MAX(D78:F78),D78:F78,0)),"")</f>
        <v/>
      </c>
      <c r="L78">
        <f>IFERROR(INDEX($D$1:$F$1,MATCH(MIN(IF(D78:F78&gt;0,D78:F78)),D78:F78,0)),"")</f>
        <v/>
      </c>
    </row>
    <row r="79">
      <c r="A79" t="inlineStr">
        <is>
          <t>Imperdíveis Pizzas salgadas</t>
        </is>
      </c>
      <c r="B79" t="inlineStr">
        <is>
          <t>Pizza Classic</t>
        </is>
      </c>
      <c r="C79" t="inlineStr">
        <is>
          <t>Grande</t>
        </is>
      </c>
      <c r="D79" s="6">
        <f>SUMIFS(Dados!$E:$E,Dados!$B:$B,$B79,Dados!$C:$C,$C79,Dados!$D:$D,"iFood")</f>
        <v/>
      </c>
      <c r="E79" s="6">
        <f>SUMIFS(Dados!$E:$E,Dados!$B:$B,$B79,Dados!$C:$C,$C79,Dados!$D:$D,"Loja (Retirada)")</f>
        <v/>
      </c>
      <c r="F79" s="6">
        <f>SUMIFS(Dados!$E:$E,Dados!$B:$B,$B79,Dados!$C:$C,$C79,Dados!$D:$D,"Keeta")</f>
        <v/>
      </c>
      <c r="G79" s="6">
        <f>IFERROR(IF(E79=0,"",D79-E79),"")</f>
        <v/>
      </c>
      <c r="H79" s="7">
        <f>IFERROR(IF(E79=0,"",(D79-E79)/E79),"")</f>
        <v/>
      </c>
      <c r="I79" s="6">
        <f>IFERROR(IF(E79=0,"",F79-E79),"")</f>
        <v/>
      </c>
      <c r="J79" s="7">
        <f>IFERROR(IF(E79=0,"",(F79-E79)/E79),"")</f>
        <v/>
      </c>
      <c r="K79">
        <f>IFERROR(INDEX($D$1:$F$1,MATCH(MAX(D79:F79),D79:F79,0)),"")</f>
        <v/>
      </c>
      <c r="L79">
        <f>IFERROR(INDEX($D$1:$F$1,MATCH(MIN(IF(D79:F79&gt;0,D79:F79)),D79:F79,0)),"")</f>
        <v/>
      </c>
    </row>
    <row r="80">
      <c r="A80" t="inlineStr">
        <is>
          <t>Imperdíveis Pizzas salgadas</t>
        </is>
      </c>
      <c r="B80" t="inlineStr">
        <is>
          <t>Pizza Classe Especial</t>
        </is>
      </c>
      <c r="C80" t="inlineStr">
        <is>
          <t>Brotinho</t>
        </is>
      </c>
      <c r="D80" s="6">
        <f>SUMIFS(Dados!$E:$E,Dados!$B:$B,$B80,Dados!$C:$C,$C80,Dados!$D:$D,"iFood")</f>
        <v/>
      </c>
      <c r="E80" s="6">
        <f>SUMIFS(Dados!$E:$E,Dados!$B:$B,$B80,Dados!$C:$C,$C80,Dados!$D:$D,"Loja (Retirada)")</f>
        <v/>
      </c>
      <c r="F80" s="6">
        <f>SUMIFS(Dados!$E:$E,Dados!$B:$B,$B80,Dados!$C:$C,$C80,Dados!$D:$D,"Keeta")</f>
        <v/>
      </c>
      <c r="G80" s="6">
        <f>IFERROR(IF(E80=0,"",D80-E80),"")</f>
        <v/>
      </c>
      <c r="H80" s="7">
        <f>IFERROR(IF(E80=0,"",(D80-E80)/E80),"")</f>
        <v/>
      </c>
      <c r="I80" s="6">
        <f>IFERROR(IF(E80=0,"",F80-E80),"")</f>
        <v/>
      </c>
      <c r="J80" s="7">
        <f>IFERROR(IF(E80=0,"",(F80-E80)/E80),"")</f>
        <v/>
      </c>
      <c r="K80">
        <f>IFERROR(INDEX($D$1:$F$1,MATCH(MAX(D80:F80),D80:F80,0)),"")</f>
        <v/>
      </c>
      <c r="L80">
        <f>IFERROR(INDEX($D$1:$F$1,MATCH(MIN(IF(D80:F80&gt;0,D80:F80)),D80:F80,0)),"")</f>
        <v/>
      </c>
    </row>
    <row r="81">
      <c r="A81" t="inlineStr">
        <is>
          <t>Imperdíveis Pizzas salgadas</t>
        </is>
      </c>
      <c r="B81" t="inlineStr">
        <is>
          <t>Pizza Classe Especial</t>
        </is>
      </c>
      <c r="C81" t="inlineStr">
        <is>
          <t>Grande</t>
        </is>
      </c>
      <c r="D81" s="6">
        <f>SUMIFS(Dados!$E:$E,Dados!$B:$B,$B81,Dados!$C:$C,$C81,Dados!$D:$D,"iFood")</f>
        <v/>
      </c>
      <c r="E81" s="6">
        <f>SUMIFS(Dados!$E:$E,Dados!$B:$B,$B81,Dados!$C:$C,$C81,Dados!$D:$D,"Loja (Retirada)")</f>
        <v/>
      </c>
      <c r="F81" s="6">
        <f>SUMIFS(Dados!$E:$E,Dados!$B:$B,$B81,Dados!$C:$C,$C81,Dados!$D:$D,"Keeta")</f>
        <v/>
      </c>
      <c r="G81" s="6">
        <f>IFERROR(IF(E81=0,"",D81-E81),"")</f>
        <v/>
      </c>
      <c r="H81" s="7">
        <f>IFERROR(IF(E81=0,"",(D81-E81)/E81),"")</f>
        <v/>
      </c>
      <c r="I81" s="6">
        <f>IFERROR(IF(E81=0,"",F81-E81),"")</f>
        <v/>
      </c>
      <c r="J81" s="7">
        <f>IFERROR(IF(E81=0,"",(F81-E81)/E81),"")</f>
        <v/>
      </c>
      <c r="K81">
        <f>IFERROR(INDEX($D$1:$F$1,MATCH(MAX(D81:F81),D81:F81,0)),"")</f>
        <v/>
      </c>
      <c r="L81">
        <f>IFERROR(INDEX($D$1:$F$1,MATCH(MIN(IF(D81:F81&gt;0,D81:F81)),D81:F81,0)),"")</f>
        <v/>
      </c>
    </row>
    <row r="82">
      <c r="A82" t="inlineStr">
        <is>
          <t>Imperdíveis Pizzas salgadas</t>
        </is>
      </c>
      <c r="B82" t="inlineStr">
        <is>
          <t>Pizza Catupiry</t>
        </is>
      </c>
      <c r="C82" t="inlineStr">
        <is>
          <t>Brotinho</t>
        </is>
      </c>
      <c r="D82" s="6">
        <f>SUMIFS(Dados!$E:$E,Dados!$B:$B,$B82,Dados!$C:$C,$C82,Dados!$D:$D,"iFood")</f>
        <v/>
      </c>
      <c r="E82" s="6">
        <f>SUMIFS(Dados!$E:$E,Dados!$B:$B,$B82,Dados!$C:$C,$C82,Dados!$D:$D,"Loja (Retirada)")</f>
        <v/>
      </c>
      <c r="F82" s="6">
        <f>SUMIFS(Dados!$E:$E,Dados!$B:$B,$B82,Dados!$C:$C,$C82,Dados!$D:$D,"Keeta")</f>
        <v/>
      </c>
      <c r="G82" s="6">
        <f>IFERROR(IF(E82=0,"",D82-E82),"")</f>
        <v/>
      </c>
      <c r="H82" s="7">
        <f>IFERROR(IF(E82=0,"",(D82-E82)/E82),"")</f>
        <v/>
      </c>
      <c r="I82" s="6">
        <f>IFERROR(IF(E82=0,"",F82-E82),"")</f>
        <v/>
      </c>
      <c r="J82" s="7">
        <f>IFERROR(IF(E82=0,"",(F82-E82)/E82),"")</f>
        <v/>
      </c>
      <c r="K82">
        <f>IFERROR(INDEX($D$1:$F$1,MATCH(MAX(D82:F82),D82:F82,0)),"")</f>
        <v/>
      </c>
      <c r="L82">
        <f>IFERROR(INDEX($D$1:$F$1,MATCH(MIN(IF(D82:F82&gt;0,D82:F82)),D82:F82,0)),"")</f>
        <v/>
      </c>
    </row>
    <row r="83">
      <c r="A83" t="inlineStr">
        <is>
          <t>Imperdíveis Pizzas salgadas</t>
        </is>
      </c>
      <c r="B83" t="inlineStr">
        <is>
          <t>Pizza Catupiry</t>
        </is>
      </c>
      <c r="C83" t="inlineStr">
        <is>
          <t>Grande</t>
        </is>
      </c>
      <c r="D83" s="6">
        <f>SUMIFS(Dados!$E:$E,Dados!$B:$B,$B83,Dados!$C:$C,$C83,Dados!$D:$D,"iFood")</f>
        <v/>
      </c>
      <c r="E83" s="6">
        <f>SUMIFS(Dados!$E:$E,Dados!$B:$B,$B83,Dados!$C:$C,$C83,Dados!$D:$D,"Loja (Retirada)")</f>
        <v/>
      </c>
      <c r="F83" s="6">
        <f>SUMIFS(Dados!$E:$E,Dados!$B:$B,$B83,Dados!$C:$C,$C83,Dados!$D:$D,"Keeta")</f>
        <v/>
      </c>
      <c r="G83" s="6">
        <f>IFERROR(IF(E83=0,"",D83-E83),"")</f>
        <v/>
      </c>
      <c r="H83" s="7">
        <f>IFERROR(IF(E83=0,"",(D83-E83)/E83),"")</f>
        <v/>
      </c>
      <c r="I83" s="6">
        <f>IFERROR(IF(E83=0,"",F83-E83),"")</f>
        <v/>
      </c>
      <c r="J83" s="7">
        <f>IFERROR(IF(E83=0,"",(F83-E83)/E83),"")</f>
        <v/>
      </c>
      <c r="K83">
        <f>IFERROR(INDEX($D$1:$F$1,MATCH(MAX(D83:F83),D83:F83,0)),"")</f>
        <v/>
      </c>
      <c r="L83">
        <f>IFERROR(INDEX($D$1:$F$1,MATCH(MIN(IF(D83:F83&gt;0,D83:F83)),D83:F83,0)),"")</f>
        <v/>
      </c>
    </row>
    <row r="84">
      <c r="A84" t="inlineStr">
        <is>
          <t>Imperdíveis Pizzas salgadas</t>
        </is>
      </c>
      <c r="B84" t="inlineStr">
        <is>
          <t>Pizza Carne Seca</t>
        </is>
      </c>
      <c r="C84" t="inlineStr">
        <is>
          <t>Brotinho</t>
        </is>
      </c>
      <c r="D84" s="6">
        <f>SUMIFS(Dados!$E:$E,Dados!$B:$B,$B84,Dados!$C:$C,$C84,Dados!$D:$D,"iFood")</f>
        <v/>
      </c>
      <c r="E84" s="6">
        <f>SUMIFS(Dados!$E:$E,Dados!$B:$B,$B84,Dados!$C:$C,$C84,Dados!$D:$D,"Loja (Retirada)")</f>
        <v/>
      </c>
      <c r="F84" s="6">
        <f>SUMIFS(Dados!$E:$E,Dados!$B:$B,$B84,Dados!$C:$C,$C84,Dados!$D:$D,"Keeta")</f>
        <v/>
      </c>
      <c r="G84" s="6">
        <f>IFERROR(IF(E84=0,"",D84-E84),"")</f>
        <v/>
      </c>
      <c r="H84" s="7">
        <f>IFERROR(IF(E84=0,"",(D84-E84)/E84),"")</f>
        <v/>
      </c>
      <c r="I84" s="6">
        <f>IFERROR(IF(E84=0,"",F84-E84),"")</f>
        <v/>
      </c>
      <c r="J84" s="7">
        <f>IFERROR(IF(E84=0,"",(F84-E84)/E84),"")</f>
        <v/>
      </c>
      <c r="K84">
        <f>IFERROR(INDEX($D$1:$F$1,MATCH(MAX(D84:F84),D84:F84,0)),"")</f>
        <v/>
      </c>
      <c r="L84">
        <f>IFERROR(INDEX($D$1:$F$1,MATCH(MIN(IF(D84:F84&gt;0,D84:F84)),D84:F84,0)),"")</f>
        <v/>
      </c>
    </row>
    <row r="85">
      <c r="A85" t="inlineStr">
        <is>
          <t>Imperdíveis Pizzas salgadas</t>
        </is>
      </c>
      <c r="B85" t="inlineStr">
        <is>
          <t>Pizza Carne Seca</t>
        </is>
      </c>
      <c r="C85" t="inlineStr">
        <is>
          <t>Grande</t>
        </is>
      </c>
      <c r="D85" s="6">
        <f>SUMIFS(Dados!$E:$E,Dados!$B:$B,$B85,Dados!$C:$C,$C85,Dados!$D:$D,"iFood")</f>
        <v/>
      </c>
      <c r="E85" s="6">
        <f>SUMIFS(Dados!$E:$E,Dados!$B:$B,$B85,Dados!$C:$C,$C85,Dados!$D:$D,"Loja (Retirada)")</f>
        <v/>
      </c>
      <c r="F85" s="6">
        <f>SUMIFS(Dados!$E:$E,Dados!$B:$B,$B85,Dados!$C:$C,$C85,Dados!$D:$D,"Keeta")</f>
        <v/>
      </c>
      <c r="G85" s="6">
        <f>IFERROR(IF(E85=0,"",D85-E85),"")</f>
        <v/>
      </c>
      <c r="H85" s="7">
        <f>IFERROR(IF(E85=0,"",(D85-E85)/E85),"")</f>
        <v/>
      </c>
      <c r="I85" s="6">
        <f>IFERROR(IF(E85=0,"",F85-E85),"")</f>
        <v/>
      </c>
      <c r="J85" s="7">
        <f>IFERROR(IF(E85=0,"",(F85-E85)/E85),"")</f>
        <v/>
      </c>
      <c r="K85">
        <f>IFERROR(INDEX($D$1:$F$1,MATCH(MAX(D85:F85),D85:F85,0)),"")</f>
        <v/>
      </c>
      <c r="L85">
        <f>IFERROR(INDEX($D$1:$F$1,MATCH(MIN(IF(D85:F85&gt;0,D85:F85)),D85:F85,0)),"")</f>
        <v/>
      </c>
    </row>
    <row r="86">
      <c r="A86" t="inlineStr">
        <is>
          <t>Imperdíveis Pizzas salgadas</t>
        </is>
      </c>
      <c r="B86" t="inlineStr">
        <is>
          <t>Pizza Caprichosa</t>
        </is>
      </c>
      <c r="C86" t="inlineStr">
        <is>
          <t>Brotinho</t>
        </is>
      </c>
      <c r="D86" s="6">
        <f>SUMIFS(Dados!$E:$E,Dados!$B:$B,$B86,Dados!$C:$C,$C86,Dados!$D:$D,"iFood")</f>
        <v/>
      </c>
      <c r="E86" s="6">
        <f>SUMIFS(Dados!$E:$E,Dados!$B:$B,$B86,Dados!$C:$C,$C86,Dados!$D:$D,"Loja (Retirada)")</f>
        <v/>
      </c>
      <c r="F86" s="6">
        <f>SUMIFS(Dados!$E:$E,Dados!$B:$B,$B86,Dados!$C:$C,$C86,Dados!$D:$D,"Keeta")</f>
        <v/>
      </c>
      <c r="G86" s="6">
        <f>IFERROR(IF(E86=0,"",D86-E86),"")</f>
        <v/>
      </c>
      <c r="H86" s="7">
        <f>IFERROR(IF(E86=0,"",(D86-E86)/E86),"")</f>
        <v/>
      </c>
      <c r="I86" s="6">
        <f>IFERROR(IF(E86=0,"",F86-E86),"")</f>
        <v/>
      </c>
      <c r="J86" s="7">
        <f>IFERROR(IF(E86=0,"",(F86-E86)/E86),"")</f>
        <v/>
      </c>
      <c r="K86">
        <f>IFERROR(INDEX($D$1:$F$1,MATCH(MAX(D86:F86),D86:F86,0)),"")</f>
        <v/>
      </c>
      <c r="L86">
        <f>IFERROR(INDEX($D$1:$F$1,MATCH(MIN(IF(D86:F86&gt;0,D86:F86)),D86:F86,0)),"")</f>
        <v/>
      </c>
    </row>
    <row r="87">
      <c r="A87" t="inlineStr">
        <is>
          <t>Imperdíveis Pizzas salgadas</t>
        </is>
      </c>
      <c r="B87" t="inlineStr">
        <is>
          <t>Pizza Caprichosa</t>
        </is>
      </c>
      <c r="C87" t="inlineStr">
        <is>
          <t>Grande</t>
        </is>
      </c>
      <c r="D87" s="6">
        <f>SUMIFS(Dados!$E:$E,Dados!$B:$B,$B87,Dados!$C:$C,$C87,Dados!$D:$D,"iFood")</f>
        <v/>
      </c>
      <c r="E87" s="6">
        <f>SUMIFS(Dados!$E:$E,Dados!$B:$B,$B87,Dados!$C:$C,$C87,Dados!$D:$D,"Loja (Retirada)")</f>
        <v/>
      </c>
      <c r="F87" s="6">
        <f>SUMIFS(Dados!$E:$E,Dados!$B:$B,$B87,Dados!$C:$C,$C87,Dados!$D:$D,"Keeta")</f>
        <v/>
      </c>
      <c r="G87" s="6">
        <f>IFERROR(IF(E87=0,"",D87-E87),"")</f>
        <v/>
      </c>
      <c r="H87" s="7">
        <f>IFERROR(IF(E87=0,"",(D87-E87)/E87),"")</f>
        <v/>
      </c>
      <c r="I87" s="6">
        <f>IFERROR(IF(E87=0,"",F87-E87),"")</f>
        <v/>
      </c>
      <c r="J87" s="7">
        <f>IFERROR(IF(E87=0,"",(F87-E87)/E87),"")</f>
        <v/>
      </c>
      <c r="K87">
        <f>IFERROR(INDEX($D$1:$F$1,MATCH(MAX(D87:F87),D87:F87,0)),"")</f>
        <v/>
      </c>
      <c r="L87">
        <f>IFERROR(INDEX($D$1:$F$1,MATCH(MIN(IF(D87:F87&gt;0,D87:F87)),D87:F87,0)),"")</f>
        <v/>
      </c>
    </row>
    <row r="88">
      <c r="A88" t="inlineStr">
        <is>
          <t>Imperdíveis Pizzas salgadas</t>
        </is>
      </c>
      <c r="B88" t="inlineStr">
        <is>
          <t>Pizza Camarão</t>
        </is>
      </c>
      <c r="C88" t="inlineStr">
        <is>
          <t>Brotinho</t>
        </is>
      </c>
      <c r="D88" s="6">
        <f>SUMIFS(Dados!$E:$E,Dados!$B:$B,$B88,Dados!$C:$C,$C88,Dados!$D:$D,"iFood")</f>
        <v/>
      </c>
      <c r="E88" s="6">
        <f>SUMIFS(Dados!$E:$E,Dados!$B:$B,$B88,Dados!$C:$C,$C88,Dados!$D:$D,"Loja (Retirada)")</f>
        <v/>
      </c>
      <c r="F88" s="6">
        <f>SUMIFS(Dados!$E:$E,Dados!$B:$B,$B88,Dados!$C:$C,$C88,Dados!$D:$D,"Keeta")</f>
        <v/>
      </c>
      <c r="G88" s="6">
        <f>IFERROR(IF(E88=0,"",D88-E88),"")</f>
        <v/>
      </c>
      <c r="H88" s="7">
        <f>IFERROR(IF(E88=0,"",(D88-E88)/E88),"")</f>
        <v/>
      </c>
      <c r="I88" s="6">
        <f>IFERROR(IF(E88=0,"",F88-E88),"")</f>
        <v/>
      </c>
      <c r="J88" s="7">
        <f>IFERROR(IF(E88=0,"",(F88-E88)/E88),"")</f>
        <v/>
      </c>
      <c r="K88">
        <f>IFERROR(INDEX($D$1:$F$1,MATCH(MAX(D88:F88),D88:F88,0)),"")</f>
        <v/>
      </c>
      <c r="L88">
        <f>IFERROR(INDEX($D$1:$F$1,MATCH(MIN(IF(D88:F88&gt;0,D88:F88)),D88:F88,0)),"")</f>
        <v/>
      </c>
    </row>
    <row r="89">
      <c r="A89" t="inlineStr">
        <is>
          <t>Imperdíveis Pizzas salgadas</t>
        </is>
      </c>
      <c r="B89" t="inlineStr">
        <is>
          <t>Pizza Camarão</t>
        </is>
      </c>
      <c r="C89" t="inlineStr">
        <is>
          <t>Grande</t>
        </is>
      </c>
      <c r="D89" s="6">
        <f>SUMIFS(Dados!$E:$E,Dados!$B:$B,$B89,Dados!$C:$C,$C89,Dados!$D:$D,"iFood")</f>
        <v/>
      </c>
      <c r="E89" s="6">
        <f>SUMIFS(Dados!$E:$E,Dados!$B:$B,$B89,Dados!$C:$C,$C89,Dados!$D:$D,"Loja (Retirada)")</f>
        <v/>
      </c>
      <c r="F89" s="6">
        <f>SUMIFS(Dados!$E:$E,Dados!$B:$B,$B89,Dados!$C:$C,$C89,Dados!$D:$D,"Keeta")</f>
        <v/>
      </c>
      <c r="G89" s="6">
        <f>IFERROR(IF(E89=0,"",D89-E89),"")</f>
        <v/>
      </c>
      <c r="H89" s="7">
        <f>IFERROR(IF(E89=0,"",(D89-E89)/E89),"")</f>
        <v/>
      </c>
      <c r="I89" s="6">
        <f>IFERROR(IF(E89=0,"",F89-E89),"")</f>
        <v/>
      </c>
      <c r="J89" s="7">
        <f>IFERROR(IF(E89=0,"",(F89-E89)/E89),"")</f>
        <v/>
      </c>
      <c r="K89">
        <f>IFERROR(INDEX($D$1:$F$1,MATCH(MAX(D89:F89),D89:F89,0)),"")</f>
        <v/>
      </c>
      <c r="L89">
        <f>IFERROR(INDEX($D$1:$F$1,MATCH(MIN(IF(D89:F89&gt;0,D89:F89)),D89:F89,0)),"")</f>
        <v/>
      </c>
    </row>
    <row r="90">
      <c r="A90" t="inlineStr">
        <is>
          <t>Imperdíveis Pizzas salgadas</t>
        </is>
      </c>
      <c r="B90" t="inlineStr">
        <is>
          <t>Pizza Calacatu</t>
        </is>
      </c>
      <c r="C90" t="inlineStr">
        <is>
          <t>Brotinho</t>
        </is>
      </c>
      <c r="D90" s="6">
        <f>SUMIFS(Dados!$E:$E,Dados!$B:$B,$B90,Dados!$C:$C,$C90,Dados!$D:$D,"iFood")</f>
        <v/>
      </c>
      <c r="E90" s="6">
        <f>SUMIFS(Dados!$E:$E,Dados!$B:$B,$B90,Dados!$C:$C,$C90,Dados!$D:$D,"Loja (Retirada)")</f>
        <v/>
      </c>
      <c r="F90" s="6">
        <f>SUMIFS(Dados!$E:$E,Dados!$B:$B,$B90,Dados!$C:$C,$C90,Dados!$D:$D,"Keeta")</f>
        <v/>
      </c>
      <c r="G90" s="6">
        <f>IFERROR(IF(E90=0,"",D90-E90),"")</f>
        <v/>
      </c>
      <c r="H90" s="7">
        <f>IFERROR(IF(E90=0,"",(D90-E90)/E90),"")</f>
        <v/>
      </c>
      <c r="I90" s="6">
        <f>IFERROR(IF(E90=0,"",F90-E90),"")</f>
        <v/>
      </c>
      <c r="J90" s="7">
        <f>IFERROR(IF(E90=0,"",(F90-E90)/E90),"")</f>
        <v/>
      </c>
      <c r="K90">
        <f>IFERROR(INDEX($D$1:$F$1,MATCH(MAX(D90:F90),D90:F90,0)),"")</f>
        <v/>
      </c>
      <c r="L90">
        <f>IFERROR(INDEX($D$1:$F$1,MATCH(MIN(IF(D90:F90&gt;0,D90:F90)),D90:F90,0)),"")</f>
        <v/>
      </c>
    </row>
    <row r="91">
      <c r="A91" t="inlineStr">
        <is>
          <t>Imperdíveis Pizzas salgadas</t>
        </is>
      </c>
      <c r="B91" t="inlineStr">
        <is>
          <t>Pizza Calacatu</t>
        </is>
      </c>
      <c r="C91" t="inlineStr">
        <is>
          <t>Grande</t>
        </is>
      </c>
      <c r="D91" s="6">
        <f>SUMIFS(Dados!$E:$E,Dados!$B:$B,$B91,Dados!$C:$C,$C91,Dados!$D:$D,"iFood")</f>
        <v/>
      </c>
      <c r="E91" s="6">
        <f>SUMIFS(Dados!$E:$E,Dados!$B:$B,$B91,Dados!$C:$C,$C91,Dados!$D:$D,"Loja (Retirada)")</f>
        <v/>
      </c>
      <c r="F91" s="6">
        <f>SUMIFS(Dados!$E:$E,Dados!$B:$B,$B91,Dados!$C:$C,$C91,Dados!$D:$D,"Keeta")</f>
        <v/>
      </c>
      <c r="G91" s="6">
        <f>IFERROR(IF(E91=0,"",D91-E91),"")</f>
        <v/>
      </c>
      <c r="H91" s="7">
        <f>IFERROR(IF(E91=0,"",(D91-E91)/E91),"")</f>
        <v/>
      </c>
      <c r="I91" s="6">
        <f>IFERROR(IF(E91=0,"",F91-E91),"")</f>
        <v/>
      </c>
      <c r="J91" s="7">
        <f>IFERROR(IF(E91=0,"",(F91-E91)/E91),"")</f>
        <v/>
      </c>
      <c r="K91">
        <f>IFERROR(INDEX($D$1:$F$1,MATCH(MAX(D91:F91),D91:F91,0)),"")</f>
        <v/>
      </c>
      <c r="L91">
        <f>IFERROR(INDEX($D$1:$F$1,MATCH(MIN(IF(D91:F91&gt;0,D91:F91)),D91:F91,0)),"")</f>
        <v/>
      </c>
    </row>
    <row r="92">
      <c r="A92" t="inlineStr">
        <is>
          <t>Imperdíveis Pizzas salgadas</t>
        </is>
      </c>
      <c r="B92" t="inlineStr">
        <is>
          <t>Pizza Calabresa</t>
        </is>
      </c>
      <c r="C92" t="inlineStr">
        <is>
          <t>Brotinho</t>
        </is>
      </c>
      <c r="D92" s="6">
        <f>SUMIFS(Dados!$E:$E,Dados!$B:$B,$B92,Dados!$C:$C,$C92,Dados!$D:$D,"iFood")</f>
        <v/>
      </c>
      <c r="E92" s="6">
        <f>SUMIFS(Dados!$E:$E,Dados!$B:$B,$B92,Dados!$C:$C,$C92,Dados!$D:$D,"Loja (Retirada)")</f>
        <v/>
      </c>
      <c r="F92" s="6">
        <f>SUMIFS(Dados!$E:$E,Dados!$B:$B,$B92,Dados!$C:$C,$C92,Dados!$D:$D,"Keeta")</f>
        <v/>
      </c>
      <c r="G92" s="6">
        <f>IFERROR(IF(E92=0,"",D92-E92),"")</f>
        <v/>
      </c>
      <c r="H92" s="7">
        <f>IFERROR(IF(E92=0,"",(D92-E92)/E92),"")</f>
        <v/>
      </c>
      <c r="I92" s="6">
        <f>IFERROR(IF(E92=0,"",F92-E92),"")</f>
        <v/>
      </c>
      <c r="J92" s="7">
        <f>IFERROR(IF(E92=0,"",(F92-E92)/E92),"")</f>
        <v/>
      </c>
      <c r="K92">
        <f>IFERROR(INDEX($D$1:$F$1,MATCH(MAX(D92:F92),D92:F92,0)),"")</f>
        <v/>
      </c>
      <c r="L92">
        <f>IFERROR(INDEX($D$1:$F$1,MATCH(MIN(IF(D92:F92&gt;0,D92:F92)),D92:F92,0)),"")</f>
        <v/>
      </c>
    </row>
    <row r="93">
      <c r="A93" t="inlineStr">
        <is>
          <t>Imperdíveis Pizzas salgadas</t>
        </is>
      </c>
      <c r="B93" t="inlineStr">
        <is>
          <t>Pizza Calabresa</t>
        </is>
      </c>
      <c r="C93" t="inlineStr">
        <is>
          <t>Grande</t>
        </is>
      </c>
      <c r="D93" s="6">
        <f>SUMIFS(Dados!$E:$E,Dados!$B:$B,$B93,Dados!$C:$C,$C93,Dados!$D:$D,"iFood")</f>
        <v/>
      </c>
      <c r="E93" s="6">
        <f>SUMIFS(Dados!$E:$E,Dados!$B:$B,$B93,Dados!$C:$C,$C93,Dados!$D:$D,"Loja (Retirada)")</f>
        <v/>
      </c>
      <c r="F93" s="6">
        <f>SUMIFS(Dados!$E:$E,Dados!$B:$B,$B93,Dados!$C:$C,$C93,Dados!$D:$D,"Keeta")</f>
        <v/>
      </c>
      <c r="G93" s="6">
        <f>IFERROR(IF(E93=0,"",D93-E93),"")</f>
        <v/>
      </c>
      <c r="H93" s="7">
        <f>IFERROR(IF(E93=0,"",(D93-E93)/E93),"")</f>
        <v/>
      </c>
      <c r="I93" s="6">
        <f>IFERROR(IF(E93=0,"",F93-E93),"")</f>
        <v/>
      </c>
      <c r="J93" s="7">
        <f>IFERROR(IF(E93=0,"",(F93-E93)/E93),"")</f>
        <v/>
      </c>
      <c r="K93">
        <f>IFERROR(INDEX($D$1:$F$1,MATCH(MAX(D93:F93),D93:F93,0)),"")</f>
        <v/>
      </c>
      <c r="L93">
        <f>IFERROR(INDEX($D$1:$F$1,MATCH(MIN(IF(D93:F93&gt;0,D93:F93)),D93:F93,0)),"")</f>
        <v/>
      </c>
    </row>
    <row r="94">
      <c r="A94" t="inlineStr">
        <is>
          <t>Imperdíveis Pizzas salgadas</t>
        </is>
      </c>
      <c r="B94" t="inlineStr">
        <is>
          <t>Pizza Caipira</t>
        </is>
      </c>
      <c r="C94" t="inlineStr">
        <is>
          <t>Brotinho</t>
        </is>
      </c>
      <c r="D94" s="6">
        <f>SUMIFS(Dados!$E:$E,Dados!$B:$B,$B94,Dados!$C:$C,$C94,Dados!$D:$D,"iFood")</f>
        <v/>
      </c>
      <c r="E94" s="6">
        <f>SUMIFS(Dados!$E:$E,Dados!$B:$B,$B94,Dados!$C:$C,$C94,Dados!$D:$D,"Loja (Retirada)")</f>
        <v/>
      </c>
      <c r="F94" s="6">
        <f>SUMIFS(Dados!$E:$E,Dados!$B:$B,$B94,Dados!$C:$C,$C94,Dados!$D:$D,"Keeta")</f>
        <v/>
      </c>
      <c r="G94" s="6">
        <f>IFERROR(IF(E94=0,"",D94-E94),"")</f>
        <v/>
      </c>
      <c r="H94" s="7">
        <f>IFERROR(IF(E94=0,"",(D94-E94)/E94),"")</f>
        <v/>
      </c>
      <c r="I94" s="6">
        <f>IFERROR(IF(E94=0,"",F94-E94),"")</f>
        <v/>
      </c>
      <c r="J94" s="7">
        <f>IFERROR(IF(E94=0,"",(F94-E94)/E94),"")</f>
        <v/>
      </c>
      <c r="K94">
        <f>IFERROR(INDEX($D$1:$F$1,MATCH(MAX(D94:F94),D94:F94,0)),"")</f>
        <v/>
      </c>
      <c r="L94">
        <f>IFERROR(INDEX($D$1:$F$1,MATCH(MIN(IF(D94:F94&gt;0,D94:F94)),D94:F94,0)),"")</f>
        <v/>
      </c>
    </row>
    <row r="95">
      <c r="A95" t="inlineStr">
        <is>
          <t>Imperdíveis Pizzas salgadas</t>
        </is>
      </c>
      <c r="B95" t="inlineStr">
        <is>
          <t>Pizza Caipira</t>
        </is>
      </c>
      <c r="C95" t="inlineStr">
        <is>
          <t>Grande</t>
        </is>
      </c>
      <c r="D95" s="6">
        <f>SUMIFS(Dados!$E:$E,Dados!$B:$B,$B95,Dados!$C:$C,$C95,Dados!$D:$D,"iFood")</f>
        <v/>
      </c>
      <c r="E95" s="6">
        <f>SUMIFS(Dados!$E:$E,Dados!$B:$B,$B95,Dados!$C:$C,$C95,Dados!$D:$D,"Loja (Retirada)")</f>
        <v/>
      </c>
      <c r="F95" s="6">
        <f>SUMIFS(Dados!$E:$E,Dados!$B:$B,$B95,Dados!$C:$C,$C95,Dados!$D:$D,"Keeta")</f>
        <v/>
      </c>
      <c r="G95" s="6">
        <f>IFERROR(IF(E95=0,"",D95-E95),"")</f>
        <v/>
      </c>
      <c r="H95" s="7">
        <f>IFERROR(IF(E95=0,"",(D95-E95)/E95),"")</f>
        <v/>
      </c>
      <c r="I95" s="6">
        <f>IFERROR(IF(E95=0,"",F95-E95),"")</f>
        <v/>
      </c>
      <c r="J95" s="7">
        <f>IFERROR(IF(E95=0,"",(F95-E95)/E95),"")</f>
        <v/>
      </c>
      <c r="K95">
        <f>IFERROR(INDEX($D$1:$F$1,MATCH(MAX(D95:F95),D95:F95,0)),"")</f>
        <v/>
      </c>
      <c r="L95">
        <f>IFERROR(INDEX($D$1:$F$1,MATCH(MIN(IF(D95:F95&gt;0,D95:F95)),D95:F95,0)),"")</f>
        <v/>
      </c>
    </row>
    <row r="96">
      <c r="A96" t="inlineStr">
        <is>
          <t>Imperdíveis Pizzas salgadas</t>
        </is>
      </c>
      <c r="B96" t="inlineStr">
        <is>
          <t>Pizza Búfala</t>
        </is>
      </c>
      <c r="C96" t="inlineStr">
        <is>
          <t>Brotinho</t>
        </is>
      </c>
      <c r="D96" s="6">
        <f>SUMIFS(Dados!$E:$E,Dados!$B:$B,$B96,Dados!$C:$C,$C96,Dados!$D:$D,"iFood")</f>
        <v/>
      </c>
      <c r="E96" s="6">
        <f>SUMIFS(Dados!$E:$E,Dados!$B:$B,$B96,Dados!$C:$C,$C96,Dados!$D:$D,"Loja (Retirada)")</f>
        <v/>
      </c>
      <c r="F96" s="6">
        <f>SUMIFS(Dados!$E:$E,Dados!$B:$B,$B96,Dados!$C:$C,$C96,Dados!$D:$D,"Keeta")</f>
        <v/>
      </c>
      <c r="G96" s="6">
        <f>IFERROR(IF(E96=0,"",D96-E96),"")</f>
        <v/>
      </c>
      <c r="H96" s="7">
        <f>IFERROR(IF(E96=0,"",(D96-E96)/E96),"")</f>
        <v/>
      </c>
      <c r="I96" s="6">
        <f>IFERROR(IF(E96=0,"",F96-E96),"")</f>
        <v/>
      </c>
      <c r="J96" s="7">
        <f>IFERROR(IF(E96=0,"",(F96-E96)/E96),"")</f>
        <v/>
      </c>
      <c r="K96">
        <f>IFERROR(INDEX($D$1:$F$1,MATCH(MAX(D96:F96),D96:F96,0)),"")</f>
        <v/>
      </c>
      <c r="L96">
        <f>IFERROR(INDEX($D$1:$F$1,MATCH(MIN(IF(D96:F96&gt;0,D96:F96)),D96:F96,0)),"")</f>
        <v/>
      </c>
    </row>
    <row r="97">
      <c r="A97" t="inlineStr">
        <is>
          <t>Imperdíveis Pizzas salgadas</t>
        </is>
      </c>
      <c r="B97" t="inlineStr">
        <is>
          <t>Pizza Búfala</t>
        </is>
      </c>
      <c r="C97" t="inlineStr">
        <is>
          <t>Grande</t>
        </is>
      </c>
      <c r="D97" s="6">
        <f>SUMIFS(Dados!$E:$E,Dados!$B:$B,$B97,Dados!$C:$C,$C97,Dados!$D:$D,"iFood")</f>
        <v/>
      </c>
      <c r="E97" s="6">
        <f>SUMIFS(Dados!$E:$E,Dados!$B:$B,$B97,Dados!$C:$C,$C97,Dados!$D:$D,"Loja (Retirada)")</f>
        <v/>
      </c>
      <c r="F97" s="6">
        <f>SUMIFS(Dados!$E:$E,Dados!$B:$B,$B97,Dados!$C:$C,$C97,Dados!$D:$D,"Keeta")</f>
        <v/>
      </c>
      <c r="G97" s="6">
        <f>IFERROR(IF(E97=0,"",D97-E97),"")</f>
        <v/>
      </c>
      <c r="H97" s="7">
        <f>IFERROR(IF(E97=0,"",(D97-E97)/E97),"")</f>
        <v/>
      </c>
      <c r="I97" s="6">
        <f>IFERROR(IF(E97=0,"",F97-E97),"")</f>
        <v/>
      </c>
      <c r="J97" s="7">
        <f>IFERROR(IF(E97=0,"",(F97-E97)/E97),"")</f>
        <v/>
      </c>
      <c r="K97">
        <f>IFERROR(INDEX($D$1:$F$1,MATCH(MAX(D97:F97),D97:F97,0)),"")</f>
        <v/>
      </c>
      <c r="L97">
        <f>IFERROR(INDEX($D$1:$F$1,MATCH(MIN(IF(D97:F97&gt;0,D97:F97)),D97:F97,0)),"")</f>
        <v/>
      </c>
    </row>
    <row r="98">
      <c r="A98" t="inlineStr">
        <is>
          <t>Imperdíveis Pizzas salgadas</t>
        </is>
      </c>
      <c r="B98" t="inlineStr">
        <is>
          <t>Pizza Brócolis 3</t>
        </is>
      </c>
      <c r="C98" t="inlineStr">
        <is>
          <t>Brotinho</t>
        </is>
      </c>
      <c r="D98" s="6">
        <f>SUMIFS(Dados!$E:$E,Dados!$B:$B,$B98,Dados!$C:$C,$C98,Dados!$D:$D,"iFood")</f>
        <v/>
      </c>
      <c r="E98" s="6">
        <f>SUMIFS(Dados!$E:$E,Dados!$B:$B,$B98,Dados!$C:$C,$C98,Dados!$D:$D,"Loja (Retirada)")</f>
        <v/>
      </c>
      <c r="F98" s="6">
        <f>SUMIFS(Dados!$E:$E,Dados!$B:$B,$B98,Dados!$C:$C,$C98,Dados!$D:$D,"Keeta")</f>
        <v/>
      </c>
      <c r="G98" s="6">
        <f>IFERROR(IF(E98=0,"",D98-E98),"")</f>
        <v/>
      </c>
      <c r="H98" s="7">
        <f>IFERROR(IF(E98=0,"",(D98-E98)/E98),"")</f>
        <v/>
      </c>
      <c r="I98" s="6">
        <f>IFERROR(IF(E98=0,"",F98-E98),"")</f>
        <v/>
      </c>
      <c r="J98" s="7">
        <f>IFERROR(IF(E98=0,"",(F98-E98)/E98),"")</f>
        <v/>
      </c>
      <c r="K98">
        <f>IFERROR(INDEX($D$1:$F$1,MATCH(MAX(D98:F98),D98:F98,0)),"")</f>
        <v/>
      </c>
      <c r="L98">
        <f>IFERROR(INDEX($D$1:$F$1,MATCH(MIN(IF(D98:F98&gt;0,D98:F98)),D98:F98,0)),"")</f>
        <v/>
      </c>
    </row>
    <row r="99">
      <c r="A99" t="inlineStr">
        <is>
          <t>Imperdíveis Pizzas salgadas</t>
        </is>
      </c>
      <c r="B99" t="inlineStr">
        <is>
          <t>Pizza Brócolis 3</t>
        </is>
      </c>
      <c r="C99" t="inlineStr">
        <is>
          <t>Grande</t>
        </is>
      </c>
      <c r="D99" s="6">
        <f>SUMIFS(Dados!$E:$E,Dados!$B:$B,$B99,Dados!$C:$C,$C99,Dados!$D:$D,"iFood")</f>
        <v/>
      </c>
      <c r="E99" s="6">
        <f>SUMIFS(Dados!$E:$E,Dados!$B:$B,$B99,Dados!$C:$C,$C99,Dados!$D:$D,"Loja (Retirada)")</f>
        <v/>
      </c>
      <c r="F99" s="6">
        <f>SUMIFS(Dados!$E:$E,Dados!$B:$B,$B99,Dados!$C:$C,$C99,Dados!$D:$D,"Keeta")</f>
        <v/>
      </c>
      <c r="G99" s="6">
        <f>IFERROR(IF(E99=0,"",D99-E99),"")</f>
        <v/>
      </c>
      <c r="H99" s="7">
        <f>IFERROR(IF(E99=0,"",(D99-E99)/E99),"")</f>
        <v/>
      </c>
      <c r="I99" s="6">
        <f>IFERROR(IF(E99=0,"",F99-E99),"")</f>
        <v/>
      </c>
      <c r="J99" s="7">
        <f>IFERROR(IF(E99=0,"",(F99-E99)/E99),"")</f>
        <v/>
      </c>
      <c r="K99">
        <f>IFERROR(INDEX($D$1:$F$1,MATCH(MAX(D99:F99),D99:F99,0)),"")</f>
        <v/>
      </c>
      <c r="L99">
        <f>IFERROR(INDEX($D$1:$F$1,MATCH(MIN(IF(D99:F99&gt;0,D99:F99)),D99:F99,0)),"")</f>
        <v/>
      </c>
    </row>
    <row r="100">
      <c r="A100" t="inlineStr">
        <is>
          <t>Imperdíveis Pizzas salgadas</t>
        </is>
      </c>
      <c r="B100" t="inlineStr">
        <is>
          <t>Pizza Brócolis 2</t>
        </is>
      </c>
      <c r="C100" t="inlineStr">
        <is>
          <t>Brotinho</t>
        </is>
      </c>
      <c r="D100" s="6">
        <f>SUMIFS(Dados!$E:$E,Dados!$B:$B,$B100,Dados!$C:$C,$C100,Dados!$D:$D,"iFood")</f>
        <v/>
      </c>
      <c r="E100" s="6">
        <f>SUMIFS(Dados!$E:$E,Dados!$B:$B,$B100,Dados!$C:$C,$C100,Dados!$D:$D,"Loja (Retirada)")</f>
        <v/>
      </c>
      <c r="F100" s="6">
        <f>SUMIFS(Dados!$E:$E,Dados!$B:$B,$B100,Dados!$C:$C,$C100,Dados!$D:$D,"Keeta")</f>
        <v/>
      </c>
      <c r="G100" s="6">
        <f>IFERROR(IF(E100=0,"",D100-E100),"")</f>
        <v/>
      </c>
      <c r="H100" s="7">
        <f>IFERROR(IF(E100=0,"",(D100-E100)/E100),"")</f>
        <v/>
      </c>
      <c r="I100" s="6">
        <f>IFERROR(IF(E100=0,"",F100-E100),"")</f>
        <v/>
      </c>
      <c r="J100" s="7">
        <f>IFERROR(IF(E100=0,"",(F100-E100)/E100),"")</f>
        <v/>
      </c>
      <c r="K100">
        <f>IFERROR(INDEX($D$1:$F$1,MATCH(MAX(D100:F100),D100:F100,0)),"")</f>
        <v/>
      </c>
      <c r="L100">
        <f>IFERROR(INDEX($D$1:$F$1,MATCH(MIN(IF(D100:F100&gt;0,D100:F100)),D100:F100,0)),"")</f>
        <v/>
      </c>
    </row>
    <row r="101">
      <c r="A101" t="inlineStr">
        <is>
          <t>Imperdíveis Pizzas salgadas</t>
        </is>
      </c>
      <c r="B101" t="inlineStr">
        <is>
          <t>Pizza Brócolis 2</t>
        </is>
      </c>
      <c r="C101" t="inlineStr">
        <is>
          <t>Grande</t>
        </is>
      </c>
      <c r="D101" s="6">
        <f>SUMIFS(Dados!$E:$E,Dados!$B:$B,$B101,Dados!$C:$C,$C101,Dados!$D:$D,"iFood")</f>
        <v/>
      </c>
      <c r="E101" s="6">
        <f>SUMIFS(Dados!$E:$E,Dados!$B:$B,$B101,Dados!$C:$C,$C101,Dados!$D:$D,"Loja (Retirada)")</f>
        <v/>
      </c>
      <c r="F101" s="6">
        <f>SUMIFS(Dados!$E:$E,Dados!$B:$B,$B101,Dados!$C:$C,$C101,Dados!$D:$D,"Keeta")</f>
        <v/>
      </c>
      <c r="G101" s="6">
        <f>IFERROR(IF(E101=0,"",D101-E101),"")</f>
        <v/>
      </c>
      <c r="H101" s="7">
        <f>IFERROR(IF(E101=0,"",(D101-E101)/E101),"")</f>
        <v/>
      </c>
      <c r="I101" s="6">
        <f>IFERROR(IF(E101=0,"",F101-E101),"")</f>
        <v/>
      </c>
      <c r="J101" s="7">
        <f>IFERROR(IF(E101=0,"",(F101-E101)/E101),"")</f>
        <v/>
      </c>
      <c r="K101">
        <f>IFERROR(INDEX($D$1:$F$1,MATCH(MAX(D101:F101),D101:F101,0)),"")</f>
        <v/>
      </c>
      <c r="L101">
        <f>IFERROR(INDEX($D$1:$F$1,MATCH(MIN(IF(D101:F101&gt;0,D101:F101)),D101:F101,0)),"")</f>
        <v/>
      </c>
    </row>
    <row r="102">
      <c r="A102" t="inlineStr">
        <is>
          <t>Imperdíveis Pizzas salgadas</t>
        </is>
      </c>
      <c r="B102" t="inlineStr">
        <is>
          <t>Pizza Brócolis</t>
        </is>
      </c>
      <c r="C102" t="inlineStr">
        <is>
          <t>Brotinho</t>
        </is>
      </c>
      <c r="D102" s="6">
        <f>SUMIFS(Dados!$E:$E,Dados!$B:$B,$B102,Dados!$C:$C,$C102,Dados!$D:$D,"iFood")</f>
        <v/>
      </c>
      <c r="E102" s="6">
        <f>SUMIFS(Dados!$E:$E,Dados!$B:$B,$B102,Dados!$C:$C,$C102,Dados!$D:$D,"Loja (Retirada)")</f>
        <v/>
      </c>
      <c r="F102" s="6">
        <f>SUMIFS(Dados!$E:$E,Dados!$B:$B,$B102,Dados!$C:$C,$C102,Dados!$D:$D,"Keeta")</f>
        <v/>
      </c>
      <c r="G102" s="6">
        <f>IFERROR(IF(E102=0,"",D102-E102),"")</f>
        <v/>
      </c>
      <c r="H102" s="7">
        <f>IFERROR(IF(E102=0,"",(D102-E102)/E102),"")</f>
        <v/>
      </c>
      <c r="I102" s="6">
        <f>IFERROR(IF(E102=0,"",F102-E102),"")</f>
        <v/>
      </c>
      <c r="J102" s="7">
        <f>IFERROR(IF(E102=0,"",(F102-E102)/E102),"")</f>
        <v/>
      </c>
      <c r="K102">
        <f>IFERROR(INDEX($D$1:$F$1,MATCH(MAX(D102:F102),D102:F102,0)),"")</f>
        <v/>
      </c>
      <c r="L102">
        <f>IFERROR(INDEX($D$1:$F$1,MATCH(MIN(IF(D102:F102&gt;0,D102:F102)),D102:F102,0)),"")</f>
        <v/>
      </c>
    </row>
    <row r="103">
      <c r="A103" t="inlineStr">
        <is>
          <t>Imperdíveis Pizzas salgadas</t>
        </is>
      </c>
      <c r="B103" t="inlineStr">
        <is>
          <t>Pizza Brócolis</t>
        </is>
      </c>
      <c r="C103" t="inlineStr">
        <is>
          <t>Grande</t>
        </is>
      </c>
      <c r="D103" s="6">
        <f>SUMIFS(Dados!$E:$E,Dados!$B:$B,$B103,Dados!$C:$C,$C103,Dados!$D:$D,"iFood")</f>
        <v/>
      </c>
      <c r="E103" s="6">
        <f>SUMIFS(Dados!$E:$E,Dados!$B:$B,$B103,Dados!$C:$C,$C103,Dados!$D:$D,"Loja (Retirada)")</f>
        <v/>
      </c>
      <c r="F103" s="6">
        <f>SUMIFS(Dados!$E:$E,Dados!$B:$B,$B103,Dados!$C:$C,$C103,Dados!$D:$D,"Keeta")</f>
        <v/>
      </c>
      <c r="G103" s="6">
        <f>IFERROR(IF(E103=0,"",D103-E103),"")</f>
        <v/>
      </c>
      <c r="H103" s="7">
        <f>IFERROR(IF(E103=0,"",(D103-E103)/E103),"")</f>
        <v/>
      </c>
      <c r="I103" s="6">
        <f>IFERROR(IF(E103=0,"",F103-E103),"")</f>
        <v/>
      </c>
      <c r="J103" s="7">
        <f>IFERROR(IF(E103=0,"",(F103-E103)/E103),"")</f>
        <v/>
      </c>
      <c r="K103">
        <f>IFERROR(INDEX($D$1:$F$1,MATCH(MAX(D103:F103),D103:F103,0)),"")</f>
        <v/>
      </c>
      <c r="L103">
        <f>IFERROR(INDEX($D$1:$F$1,MATCH(MIN(IF(D103:F103&gt;0,D103:F103)),D103:F103,0)),"")</f>
        <v/>
      </c>
    </row>
    <row r="104">
      <c r="A104" t="inlineStr">
        <is>
          <t>Imperdíveis Pizzas salgadas</t>
        </is>
      </c>
      <c r="B104" t="inlineStr">
        <is>
          <t>Pizza Berinjela</t>
        </is>
      </c>
      <c r="C104" t="inlineStr">
        <is>
          <t>Brotinho</t>
        </is>
      </c>
      <c r="D104" s="6">
        <f>SUMIFS(Dados!$E:$E,Dados!$B:$B,$B104,Dados!$C:$C,$C104,Dados!$D:$D,"iFood")</f>
        <v/>
      </c>
      <c r="E104" s="6">
        <f>SUMIFS(Dados!$E:$E,Dados!$B:$B,$B104,Dados!$C:$C,$C104,Dados!$D:$D,"Loja (Retirada)")</f>
        <v/>
      </c>
      <c r="F104" s="6">
        <f>SUMIFS(Dados!$E:$E,Dados!$B:$B,$B104,Dados!$C:$C,$C104,Dados!$D:$D,"Keeta")</f>
        <v/>
      </c>
      <c r="G104" s="6">
        <f>IFERROR(IF(E104=0,"",D104-E104),"")</f>
        <v/>
      </c>
      <c r="H104" s="7">
        <f>IFERROR(IF(E104=0,"",(D104-E104)/E104),"")</f>
        <v/>
      </c>
      <c r="I104" s="6">
        <f>IFERROR(IF(E104=0,"",F104-E104),"")</f>
        <v/>
      </c>
      <c r="J104" s="7">
        <f>IFERROR(IF(E104=0,"",(F104-E104)/E104),"")</f>
        <v/>
      </c>
      <c r="K104">
        <f>IFERROR(INDEX($D$1:$F$1,MATCH(MAX(D104:F104),D104:F104,0)),"")</f>
        <v/>
      </c>
      <c r="L104">
        <f>IFERROR(INDEX($D$1:$F$1,MATCH(MIN(IF(D104:F104&gt;0,D104:F104)),D104:F104,0)),"")</f>
        <v/>
      </c>
    </row>
    <row r="105">
      <c r="A105" t="inlineStr">
        <is>
          <t>Imperdíveis Pizzas salgadas</t>
        </is>
      </c>
      <c r="B105" t="inlineStr">
        <is>
          <t>Pizza Berinjela</t>
        </is>
      </c>
      <c r="C105" t="inlineStr">
        <is>
          <t>Grande</t>
        </is>
      </c>
      <c r="D105" s="6">
        <f>SUMIFS(Dados!$E:$E,Dados!$B:$B,$B105,Dados!$C:$C,$C105,Dados!$D:$D,"iFood")</f>
        <v/>
      </c>
      <c r="E105" s="6">
        <f>SUMIFS(Dados!$E:$E,Dados!$B:$B,$B105,Dados!$C:$C,$C105,Dados!$D:$D,"Loja (Retirada)")</f>
        <v/>
      </c>
      <c r="F105" s="6">
        <f>SUMIFS(Dados!$E:$E,Dados!$B:$B,$B105,Dados!$C:$C,$C105,Dados!$D:$D,"Keeta")</f>
        <v/>
      </c>
      <c r="G105" s="6">
        <f>IFERROR(IF(E105=0,"",D105-E105),"")</f>
        <v/>
      </c>
      <c r="H105" s="7">
        <f>IFERROR(IF(E105=0,"",(D105-E105)/E105),"")</f>
        <v/>
      </c>
      <c r="I105" s="6">
        <f>IFERROR(IF(E105=0,"",F105-E105),"")</f>
        <v/>
      </c>
      <c r="J105" s="7">
        <f>IFERROR(IF(E105=0,"",(F105-E105)/E105),"")</f>
        <v/>
      </c>
      <c r="K105">
        <f>IFERROR(INDEX($D$1:$F$1,MATCH(MAX(D105:F105),D105:F105,0)),"")</f>
        <v/>
      </c>
      <c r="L105">
        <f>IFERROR(INDEX($D$1:$F$1,MATCH(MIN(IF(D105:F105&gt;0,D105:F105)),D105:F105,0)),"")</f>
        <v/>
      </c>
    </row>
    <row r="106">
      <c r="A106" t="inlineStr">
        <is>
          <t>Imperdíveis Pizzas salgadas</t>
        </is>
      </c>
      <c r="B106" t="inlineStr">
        <is>
          <t>Pizza Baiana</t>
        </is>
      </c>
      <c r="C106" t="inlineStr">
        <is>
          <t>Brotinho</t>
        </is>
      </c>
      <c r="D106" s="6">
        <f>SUMIFS(Dados!$E:$E,Dados!$B:$B,$B106,Dados!$C:$C,$C106,Dados!$D:$D,"iFood")</f>
        <v/>
      </c>
      <c r="E106" s="6">
        <f>SUMIFS(Dados!$E:$E,Dados!$B:$B,$B106,Dados!$C:$C,$C106,Dados!$D:$D,"Loja (Retirada)")</f>
        <v/>
      </c>
      <c r="F106" s="6">
        <f>SUMIFS(Dados!$E:$E,Dados!$B:$B,$B106,Dados!$C:$C,$C106,Dados!$D:$D,"Keeta")</f>
        <v/>
      </c>
      <c r="G106" s="6">
        <f>IFERROR(IF(E106=0,"",D106-E106),"")</f>
        <v/>
      </c>
      <c r="H106" s="7">
        <f>IFERROR(IF(E106=0,"",(D106-E106)/E106),"")</f>
        <v/>
      </c>
      <c r="I106" s="6">
        <f>IFERROR(IF(E106=0,"",F106-E106),"")</f>
        <v/>
      </c>
      <c r="J106" s="7">
        <f>IFERROR(IF(E106=0,"",(F106-E106)/E106),"")</f>
        <v/>
      </c>
      <c r="K106">
        <f>IFERROR(INDEX($D$1:$F$1,MATCH(MAX(D106:F106),D106:F106,0)),"")</f>
        <v/>
      </c>
      <c r="L106">
        <f>IFERROR(INDEX($D$1:$F$1,MATCH(MIN(IF(D106:F106&gt;0,D106:F106)),D106:F106,0)),"")</f>
        <v/>
      </c>
    </row>
    <row r="107">
      <c r="A107" t="inlineStr">
        <is>
          <t>Imperdíveis Pizzas salgadas</t>
        </is>
      </c>
      <c r="B107" t="inlineStr">
        <is>
          <t>Pizza Baiana</t>
        </is>
      </c>
      <c r="C107" t="inlineStr">
        <is>
          <t>Grande</t>
        </is>
      </c>
      <c r="D107" s="6">
        <f>SUMIFS(Dados!$E:$E,Dados!$B:$B,$B107,Dados!$C:$C,$C107,Dados!$D:$D,"iFood")</f>
        <v/>
      </c>
      <c r="E107" s="6">
        <f>SUMIFS(Dados!$E:$E,Dados!$B:$B,$B107,Dados!$C:$C,$C107,Dados!$D:$D,"Loja (Retirada)")</f>
        <v/>
      </c>
      <c r="F107" s="6">
        <f>SUMIFS(Dados!$E:$E,Dados!$B:$B,$B107,Dados!$C:$C,$C107,Dados!$D:$D,"Keeta")</f>
        <v/>
      </c>
      <c r="G107" s="6">
        <f>IFERROR(IF(E107=0,"",D107-E107),"")</f>
        <v/>
      </c>
      <c r="H107" s="7">
        <f>IFERROR(IF(E107=0,"",(D107-E107)/E107),"")</f>
        <v/>
      </c>
      <c r="I107" s="6">
        <f>IFERROR(IF(E107=0,"",F107-E107),"")</f>
        <v/>
      </c>
      <c r="J107" s="7">
        <f>IFERROR(IF(E107=0,"",(F107-E107)/E107),"")</f>
        <v/>
      </c>
      <c r="K107">
        <f>IFERROR(INDEX($D$1:$F$1,MATCH(MAX(D107:F107),D107:F107,0)),"")</f>
        <v/>
      </c>
      <c r="L107">
        <f>IFERROR(INDEX($D$1:$F$1,MATCH(MIN(IF(D107:F107&gt;0,D107:F107)),D107:F107,0)),"")</f>
        <v/>
      </c>
    </row>
    <row r="108">
      <c r="A108" t="inlineStr">
        <is>
          <t>Imperdíveis Pizzas salgadas</t>
        </is>
      </c>
      <c r="B108" t="inlineStr">
        <is>
          <t>Pizza Bacon</t>
        </is>
      </c>
      <c r="C108" t="inlineStr">
        <is>
          <t>Brotinho</t>
        </is>
      </c>
      <c r="D108" s="6">
        <f>SUMIFS(Dados!$E:$E,Dados!$B:$B,$B108,Dados!$C:$C,$C108,Dados!$D:$D,"iFood")</f>
        <v/>
      </c>
      <c r="E108" s="6">
        <f>SUMIFS(Dados!$E:$E,Dados!$B:$B,$B108,Dados!$C:$C,$C108,Dados!$D:$D,"Loja (Retirada)")</f>
        <v/>
      </c>
      <c r="F108" s="6">
        <f>SUMIFS(Dados!$E:$E,Dados!$B:$B,$B108,Dados!$C:$C,$C108,Dados!$D:$D,"Keeta")</f>
        <v/>
      </c>
      <c r="G108" s="6">
        <f>IFERROR(IF(E108=0,"",D108-E108),"")</f>
        <v/>
      </c>
      <c r="H108" s="7">
        <f>IFERROR(IF(E108=0,"",(D108-E108)/E108),"")</f>
        <v/>
      </c>
      <c r="I108" s="6">
        <f>IFERROR(IF(E108=0,"",F108-E108),"")</f>
        <v/>
      </c>
      <c r="J108" s="7">
        <f>IFERROR(IF(E108=0,"",(F108-E108)/E108),"")</f>
        <v/>
      </c>
      <c r="K108">
        <f>IFERROR(INDEX($D$1:$F$1,MATCH(MAX(D108:F108),D108:F108,0)),"")</f>
        <v/>
      </c>
      <c r="L108">
        <f>IFERROR(INDEX($D$1:$F$1,MATCH(MIN(IF(D108:F108&gt;0,D108:F108)),D108:F108,0)),"")</f>
        <v/>
      </c>
    </row>
    <row r="109">
      <c r="A109" t="inlineStr">
        <is>
          <t>Imperdíveis Pizzas salgadas</t>
        </is>
      </c>
      <c r="B109" t="inlineStr">
        <is>
          <t>Pizza Bacon</t>
        </is>
      </c>
      <c r="C109" t="inlineStr">
        <is>
          <t>Grande</t>
        </is>
      </c>
      <c r="D109" s="6">
        <f>SUMIFS(Dados!$E:$E,Dados!$B:$B,$B109,Dados!$C:$C,$C109,Dados!$D:$D,"iFood")</f>
        <v/>
      </c>
      <c r="E109" s="6">
        <f>SUMIFS(Dados!$E:$E,Dados!$B:$B,$B109,Dados!$C:$C,$C109,Dados!$D:$D,"Loja (Retirada)")</f>
        <v/>
      </c>
      <c r="F109" s="6">
        <f>SUMIFS(Dados!$E:$E,Dados!$B:$B,$B109,Dados!$C:$C,$C109,Dados!$D:$D,"Keeta")</f>
        <v/>
      </c>
      <c r="G109" s="6">
        <f>IFERROR(IF(E109=0,"",D109-E109),"")</f>
        <v/>
      </c>
      <c r="H109" s="7">
        <f>IFERROR(IF(E109=0,"",(D109-E109)/E109),"")</f>
        <v/>
      </c>
      <c r="I109" s="6">
        <f>IFERROR(IF(E109=0,"",F109-E109),"")</f>
        <v/>
      </c>
      <c r="J109" s="7">
        <f>IFERROR(IF(E109=0,"",(F109-E109)/E109),"")</f>
        <v/>
      </c>
      <c r="K109">
        <f>IFERROR(INDEX($D$1:$F$1,MATCH(MAX(D109:F109),D109:F109,0)),"")</f>
        <v/>
      </c>
      <c r="L109">
        <f>IFERROR(INDEX($D$1:$F$1,MATCH(MIN(IF(D109:F109&gt;0,D109:F109)),D109:F109,0)),"")</f>
        <v/>
      </c>
    </row>
    <row r="110">
      <c r="A110" t="inlineStr">
        <is>
          <t>Imperdíveis Pizzas salgadas</t>
        </is>
      </c>
      <c r="B110" t="inlineStr">
        <is>
          <t>Atum Especial</t>
        </is>
      </c>
      <c r="C110" t="inlineStr">
        <is>
          <t>Brotinho</t>
        </is>
      </c>
      <c r="D110" s="6">
        <f>SUMIFS(Dados!$E:$E,Dados!$B:$B,$B110,Dados!$C:$C,$C110,Dados!$D:$D,"iFood")</f>
        <v/>
      </c>
      <c r="E110" s="6">
        <f>SUMIFS(Dados!$E:$E,Dados!$B:$B,$B110,Dados!$C:$C,$C110,Dados!$D:$D,"Loja (Retirada)")</f>
        <v/>
      </c>
      <c r="F110" s="6">
        <f>SUMIFS(Dados!$E:$E,Dados!$B:$B,$B110,Dados!$C:$C,$C110,Dados!$D:$D,"Keeta")</f>
        <v/>
      </c>
      <c r="G110" s="6">
        <f>IFERROR(IF(E110=0,"",D110-E110),"")</f>
        <v/>
      </c>
      <c r="H110" s="7">
        <f>IFERROR(IF(E110=0,"",(D110-E110)/E110),"")</f>
        <v/>
      </c>
      <c r="I110" s="6">
        <f>IFERROR(IF(E110=0,"",F110-E110),"")</f>
        <v/>
      </c>
      <c r="J110" s="7">
        <f>IFERROR(IF(E110=0,"",(F110-E110)/E110),"")</f>
        <v/>
      </c>
      <c r="K110">
        <f>IFERROR(INDEX($D$1:$F$1,MATCH(MAX(D110:F110),D110:F110,0)),"")</f>
        <v/>
      </c>
      <c r="L110">
        <f>IFERROR(INDEX($D$1:$F$1,MATCH(MIN(IF(D110:F110&gt;0,D110:F110)),D110:F110,0)),"")</f>
        <v/>
      </c>
    </row>
    <row r="111">
      <c r="A111" t="inlineStr">
        <is>
          <t>Imperdíveis Pizzas salgadas</t>
        </is>
      </c>
      <c r="B111" t="inlineStr">
        <is>
          <t>Atum Especial</t>
        </is>
      </c>
      <c r="C111" t="inlineStr">
        <is>
          <t>Grande</t>
        </is>
      </c>
      <c r="D111" s="6">
        <f>SUMIFS(Dados!$E:$E,Dados!$B:$B,$B111,Dados!$C:$C,$C111,Dados!$D:$D,"iFood")</f>
        <v/>
      </c>
      <c r="E111" s="6">
        <f>SUMIFS(Dados!$E:$E,Dados!$B:$B,$B111,Dados!$C:$C,$C111,Dados!$D:$D,"Loja (Retirada)")</f>
        <v/>
      </c>
      <c r="F111" s="6">
        <f>SUMIFS(Dados!$E:$E,Dados!$B:$B,$B111,Dados!$C:$C,$C111,Dados!$D:$D,"Keeta")</f>
        <v/>
      </c>
      <c r="G111" s="6">
        <f>IFERROR(IF(E111=0,"",D111-E111),"")</f>
        <v/>
      </c>
      <c r="H111" s="7">
        <f>IFERROR(IF(E111=0,"",(D111-E111)/E111),"")</f>
        <v/>
      </c>
      <c r="I111" s="6">
        <f>IFERROR(IF(E111=0,"",F111-E111),"")</f>
        <v/>
      </c>
      <c r="J111" s="7">
        <f>IFERROR(IF(E111=0,"",(F111-E111)/E111),"")</f>
        <v/>
      </c>
      <c r="K111">
        <f>IFERROR(INDEX($D$1:$F$1,MATCH(MAX(D111:F111),D111:F111,0)),"")</f>
        <v/>
      </c>
      <c r="L111">
        <f>IFERROR(INDEX($D$1:$F$1,MATCH(MIN(IF(D111:F111&gt;0,D111:F111)),D111:F111,0)),"")</f>
        <v/>
      </c>
    </row>
    <row r="112">
      <c r="A112" t="inlineStr">
        <is>
          <t>Imperdíveis Pizzas salgadas</t>
        </is>
      </c>
      <c r="B112" t="inlineStr">
        <is>
          <t>Pizza Artes Da Pizza</t>
        </is>
      </c>
      <c r="C112" t="inlineStr">
        <is>
          <t>Brotinho</t>
        </is>
      </c>
      <c r="D112" s="6">
        <f>SUMIFS(Dados!$E:$E,Dados!$B:$B,$B112,Dados!$C:$C,$C112,Dados!$D:$D,"iFood")</f>
        <v/>
      </c>
      <c r="E112" s="6">
        <f>SUMIFS(Dados!$E:$E,Dados!$B:$B,$B112,Dados!$C:$C,$C112,Dados!$D:$D,"Loja (Retirada)")</f>
        <v/>
      </c>
      <c r="F112" s="6">
        <f>SUMIFS(Dados!$E:$E,Dados!$B:$B,$B112,Dados!$C:$C,$C112,Dados!$D:$D,"Keeta")</f>
        <v/>
      </c>
      <c r="G112" s="6">
        <f>IFERROR(IF(E112=0,"",D112-E112),"")</f>
        <v/>
      </c>
      <c r="H112" s="7">
        <f>IFERROR(IF(E112=0,"",(D112-E112)/E112),"")</f>
        <v/>
      </c>
      <c r="I112" s="6">
        <f>IFERROR(IF(E112=0,"",F112-E112),"")</f>
        <v/>
      </c>
      <c r="J112" s="7">
        <f>IFERROR(IF(E112=0,"",(F112-E112)/E112),"")</f>
        <v/>
      </c>
      <c r="K112">
        <f>IFERROR(INDEX($D$1:$F$1,MATCH(MAX(D112:F112),D112:F112,0)),"")</f>
        <v/>
      </c>
      <c r="L112">
        <f>IFERROR(INDEX($D$1:$F$1,MATCH(MIN(IF(D112:F112&gt;0,D112:F112)),D112:F112,0)),"")</f>
        <v/>
      </c>
    </row>
    <row r="113">
      <c r="A113" t="inlineStr">
        <is>
          <t>Imperdíveis Pizzas salgadas</t>
        </is>
      </c>
      <c r="B113" t="inlineStr">
        <is>
          <t>Pizza Artes Da Pizza</t>
        </is>
      </c>
      <c r="C113" t="inlineStr">
        <is>
          <t>Grande</t>
        </is>
      </c>
      <c r="D113" s="6">
        <f>SUMIFS(Dados!$E:$E,Dados!$B:$B,$B113,Dados!$C:$C,$C113,Dados!$D:$D,"iFood")</f>
        <v/>
      </c>
      <c r="E113" s="6">
        <f>SUMIFS(Dados!$E:$E,Dados!$B:$B,$B113,Dados!$C:$C,$C113,Dados!$D:$D,"Loja (Retirada)")</f>
        <v/>
      </c>
      <c r="F113" s="6">
        <f>SUMIFS(Dados!$E:$E,Dados!$B:$B,$B113,Dados!$C:$C,$C113,Dados!$D:$D,"Keeta")</f>
        <v/>
      </c>
      <c r="G113" s="6">
        <f>IFERROR(IF(E113=0,"",D113-E113),"")</f>
        <v/>
      </c>
      <c r="H113" s="7">
        <f>IFERROR(IF(E113=0,"",(D113-E113)/E113),"")</f>
        <v/>
      </c>
      <c r="I113" s="6">
        <f>IFERROR(IF(E113=0,"",F113-E113),"")</f>
        <v/>
      </c>
      <c r="J113" s="7">
        <f>IFERROR(IF(E113=0,"",(F113-E113)/E113),"")</f>
        <v/>
      </c>
      <c r="K113">
        <f>IFERROR(INDEX($D$1:$F$1,MATCH(MAX(D113:F113),D113:F113,0)),"")</f>
        <v/>
      </c>
      <c r="L113">
        <f>IFERROR(INDEX($D$1:$F$1,MATCH(MIN(IF(D113:F113&gt;0,D113:F113)),D113:F113,0)),"")</f>
        <v/>
      </c>
    </row>
    <row r="114">
      <c r="A114" t="inlineStr">
        <is>
          <t>Imperdíveis Pizzas salgadas</t>
        </is>
      </c>
      <c r="B114" t="inlineStr">
        <is>
          <t>Pizza Atum</t>
        </is>
      </c>
      <c r="C114" t="inlineStr">
        <is>
          <t>Brotinho</t>
        </is>
      </c>
      <c r="D114" s="6">
        <f>SUMIFS(Dados!$E:$E,Dados!$B:$B,$B114,Dados!$C:$C,$C114,Dados!$D:$D,"iFood")</f>
        <v/>
      </c>
      <c r="E114" s="6">
        <f>SUMIFS(Dados!$E:$E,Dados!$B:$B,$B114,Dados!$C:$C,$C114,Dados!$D:$D,"Loja (Retirada)")</f>
        <v/>
      </c>
      <c r="F114" s="6">
        <f>SUMIFS(Dados!$E:$E,Dados!$B:$B,$B114,Dados!$C:$C,$C114,Dados!$D:$D,"Keeta")</f>
        <v/>
      </c>
      <c r="G114" s="6">
        <f>IFERROR(IF(E114=0,"",D114-E114),"")</f>
        <v/>
      </c>
      <c r="H114" s="7">
        <f>IFERROR(IF(E114=0,"",(D114-E114)/E114),"")</f>
        <v/>
      </c>
      <c r="I114" s="6">
        <f>IFERROR(IF(E114=0,"",F114-E114),"")</f>
        <v/>
      </c>
      <c r="J114" s="7">
        <f>IFERROR(IF(E114=0,"",(F114-E114)/E114),"")</f>
        <v/>
      </c>
      <c r="K114">
        <f>IFERROR(INDEX($D$1:$F$1,MATCH(MAX(D114:F114),D114:F114,0)),"")</f>
        <v/>
      </c>
      <c r="L114">
        <f>IFERROR(INDEX($D$1:$F$1,MATCH(MIN(IF(D114:F114&gt;0,D114:F114)),D114:F114,0)),"")</f>
        <v/>
      </c>
    </row>
    <row r="115">
      <c r="A115" t="inlineStr">
        <is>
          <t>Imperdíveis Pizzas salgadas</t>
        </is>
      </c>
      <c r="B115" t="inlineStr">
        <is>
          <t>Pizza Atum</t>
        </is>
      </c>
      <c r="C115" t="inlineStr">
        <is>
          <t>Grande</t>
        </is>
      </c>
      <c r="D115" s="6">
        <f>SUMIFS(Dados!$E:$E,Dados!$B:$B,$B115,Dados!$C:$C,$C115,Dados!$D:$D,"iFood")</f>
        <v/>
      </c>
      <c r="E115" s="6">
        <f>SUMIFS(Dados!$E:$E,Dados!$B:$B,$B115,Dados!$C:$C,$C115,Dados!$D:$D,"Loja (Retirada)")</f>
        <v/>
      </c>
      <c r="F115" s="6">
        <f>SUMIFS(Dados!$E:$E,Dados!$B:$B,$B115,Dados!$C:$C,$C115,Dados!$D:$D,"Keeta")</f>
        <v/>
      </c>
      <c r="G115" s="6">
        <f>IFERROR(IF(E115=0,"",D115-E115),"")</f>
        <v/>
      </c>
      <c r="H115" s="7">
        <f>IFERROR(IF(E115=0,"",(D115-E115)/E115),"")</f>
        <v/>
      </c>
      <c r="I115" s="6">
        <f>IFERROR(IF(E115=0,"",F115-E115),"")</f>
        <v/>
      </c>
      <c r="J115" s="7">
        <f>IFERROR(IF(E115=0,"",(F115-E115)/E115),"")</f>
        <v/>
      </c>
      <c r="K115">
        <f>IFERROR(INDEX($D$1:$F$1,MATCH(MAX(D115:F115),D115:F115,0)),"")</f>
        <v/>
      </c>
      <c r="L115">
        <f>IFERROR(INDEX($D$1:$F$1,MATCH(MIN(IF(D115:F115&gt;0,D115:F115)),D115:F115,0)),"")</f>
        <v/>
      </c>
    </row>
    <row r="116">
      <c r="A116" t="inlineStr">
        <is>
          <t>Imperdíveis Pizzas salgadas</t>
        </is>
      </c>
      <c r="B116" t="inlineStr">
        <is>
          <t>Pizza Americana</t>
        </is>
      </c>
      <c r="C116" t="inlineStr">
        <is>
          <t>Brotinho</t>
        </is>
      </c>
      <c r="D116" s="6">
        <f>SUMIFS(Dados!$E:$E,Dados!$B:$B,$B116,Dados!$C:$C,$C116,Dados!$D:$D,"iFood")</f>
        <v/>
      </c>
      <c r="E116" s="6">
        <f>SUMIFS(Dados!$E:$E,Dados!$B:$B,$B116,Dados!$C:$C,$C116,Dados!$D:$D,"Loja (Retirada)")</f>
        <v/>
      </c>
      <c r="F116" s="6">
        <f>SUMIFS(Dados!$E:$E,Dados!$B:$B,$B116,Dados!$C:$C,$C116,Dados!$D:$D,"Keeta")</f>
        <v/>
      </c>
      <c r="G116" s="6">
        <f>IFERROR(IF(E116=0,"",D116-E116),"")</f>
        <v/>
      </c>
      <c r="H116" s="7">
        <f>IFERROR(IF(E116=0,"",(D116-E116)/E116),"")</f>
        <v/>
      </c>
      <c r="I116" s="6">
        <f>IFERROR(IF(E116=0,"",F116-E116),"")</f>
        <v/>
      </c>
      <c r="J116" s="7">
        <f>IFERROR(IF(E116=0,"",(F116-E116)/E116),"")</f>
        <v/>
      </c>
      <c r="K116">
        <f>IFERROR(INDEX($D$1:$F$1,MATCH(MAX(D116:F116),D116:F116,0)),"")</f>
        <v/>
      </c>
      <c r="L116">
        <f>IFERROR(INDEX($D$1:$F$1,MATCH(MIN(IF(D116:F116&gt;0,D116:F116)),D116:F116,0)),"")</f>
        <v/>
      </c>
    </row>
    <row r="117">
      <c r="A117" t="inlineStr">
        <is>
          <t>Imperdíveis Pizzas salgadas</t>
        </is>
      </c>
      <c r="B117" t="inlineStr">
        <is>
          <t>Pizza Americana</t>
        </is>
      </c>
      <c r="C117" t="inlineStr">
        <is>
          <t>Grande</t>
        </is>
      </c>
      <c r="D117" s="6">
        <f>SUMIFS(Dados!$E:$E,Dados!$B:$B,$B117,Dados!$C:$C,$C117,Dados!$D:$D,"iFood")</f>
        <v/>
      </c>
      <c r="E117" s="6">
        <f>SUMIFS(Dados!$E:$E,Dados!$B:$B,$B117,Dados!$C:$C,$C117,Dados!$D:$D,"Loja (Retirada)")</f>
        <v/>
      </c>
      <c r="F117" s="6">
        <f>SUMIFS(Dados!$E:$E,Dados!$B:$B,$B117,Dados!$C:$C,$C117,Dados!$D:$D,"Keeta")</f>
        <v/>
      </c>
      <c r="G117" s="6">
        <f>IFERROR(IF(E117=0,"",D117-E117),"")</f>
        <v/>
      </c>
      <c r="H117" s="7">
        <f>IFERROR(IF(E117=0,"",(D117-E117)/E117),"")</f>
        <v/>
      </c>
      <c r="I117" s="6">
        <f>IFERROR(IF(E117=0,"",F117-E117),"")</f>
        <v/>
      </c>
      <c r="J117" s="7">
        <f>IFERROR(IF(E117=0,"",(F117-E117)/E117),"")</f>
        <v/>
      </c>
      <c r="K117">
        <f>IFERROR(INDEX($D$1:$F$1,MATCH(MAX(D117:F117),D117:F117,0)),"")</f>
        <v/>
      </c>
      <c r="L117">
        <f>IFERROR(INDEX($D$1:$F$1,MATCH(MIN(IF(D117:F117&gt;0,D117:F117)),D117:F117,0)),"")</f>
        <v/>
      </c>
    </row>
    <row r="118">
      <c r="A118" t="inlineStr">
        <is>
          <t>Imperdíveis Pizzas salgadas</t>
        </is>
      </c>
      <c r="B118" t="inlineStr">
        <is>
          <t>Pizza Aliche Importado</t>
        </is>
      </c>
      <c r="C118" t="inlineStr">
        <is>
          <t>Brotinho</t>
        </is>
      </c>
      <c r="D118" s="6">
        <f>SUMIFS(Dados!$E:$E,Dados!$B:$B,$B118,Dados!$C:$C,$C118,Dados!$D:$D,"iFood")</f>
        <v/>
      </c>
      <c r="E118" s="6">
        <f>SUMIFS(Dados!$E:$E,Dados!$B:$B,$B118,Dados!$C:$C,$C118,Dados!$D:$D,"Loja (Retirada)")</f>
        <v/>
      </c>
      <c r="F118" s="6">
        <f>SUMIFS(Dados!$E:$E,Dados!$B:$B,$B118,Dados!$C:$C,$C118,Dados!$D:$D,"Keeta")</f>
        <v/>
      </c>
      <c r="G118" s="6">
        <f>IFERROR(IF(E118=0,"",D118-E118),"")</f>
        <v/>
      </c>
      <c r="H118" s="7">
        <f>IFERROR(IF(E118=0,"",(D118-E118)/E118),"")</f>
        <v/>
      </c>
      <c r="I118" s="6">
        <f>IFERROR(IF(E118=0,"",F118-E118),"")</f>
        <v/>
      </c>
      <c r="J118" s="7">
        <f>IFERROR(IF(E118=0,"",(F118-E118)/E118),"")</f>
        <v/>
      </c>
      <c r="K118">
        <f>IFERROR(INDEX($D$1:$F$1,MATCH(MAX(D118:F118),D118:F118,0)),"")</f>
        <v/>
      </c>
      <c r="L118">
        <f>IFERROR(INDEX($D$1:$F$1,MATCH(MIN(IF(D118:F118&gt;0,D118:F118)),D118:F118,0)),"")</f>
        <v/>
      </c>
    </row>
    <row r="119">
      <c r="A119" t="inlineStr">
        <is>
          <t>Imperdíveis Pizzas salgadas</t>
        </is>
      </c>
      <c r="B119" t="inlineStr">
        <is>
          <t>Pizza Aliche Importado</t>
        </is>
      </c>
      <c r="C119" t="inlineStr">
        <is>
          <t>Grande</t>
        </is>
      </c>
      <c r="D119" s="6">
        <f>SUMIFS(Dados!$E:$E,Dados!$B:$B,$B119,Dados!$C:$C,$C119,Dados!$D:$D,"iFood")</f>
        <v/>
      </c>
      <c r="E119" s="6">
        <f>SUMIFS(Dados!$E:$E,Dados!$B:$B,$B119,Dados!$C:$C,$C119,Dados!$D:$D,"Loja (Retirada)")</f>
        <v/>
      </c>
      <c r="F119" s="6">
        <f>SUMIFS(Dados!$E:$E,Dados!$B:$B,$B119,Dados!$C:$C,$C119,Dados!$D:$D,"Keeta")</f>
        <v/>
      </c>
      <c r="G119" s="6">
        <f>IFERROR(IF(E119=0,"",D119-E119),"")</f>
        <v/>
      </c>
      <c r="H119" s="7">
        <f>IFERROR(IF(E119=0,"",(D119-E119)/E119),"")</f>
        <v/>
      </c>
      <c r="I119" s="6">
        <f>IFERROR(IF(E119=0,"",F119-E119),"")</f>
        <v/>
      </c>
      <c r="J119" s="7">
        <f>IFERROR(IF(E119=0,"",(F119-E119)/E119),"")</f>
        <v/>
      </c>
      <c r="K119">
        <f>IFERROR(INDEX($D$1:$F$1,MATCH(MAX(D119:F119),D119:F119,0)),"")</f>
        <v/>
      </c>
      <c r="L119">
        <f>IFERROR(INDEX($D$1:$F$1,MATCH(MIN(IF(D119:F119&gt;0,D119:F119)),D119:F119,0)),"")</f>
        <v/>
      </c>
    </row>
    <row r="120">
      <c r="A120" t="inlineStr">
        <is>
          <t>Imperdíveis Pizzas salgadas</t>
        </is>
      </c>
      <c r="B120" t="inlineStr">
        <is>
          <t>Pizza Alho Poró</t>
        </is>
      </c>
      <c r="C120" t="inlineStr">
        <is>
          <t>Brotinho</t>
        </is>
      </c>
      <c r="D120" s="6">
        <f>SUMIFS(Dados!$E:$E,Dados!$B:$B,$B120,Dados!$C:$C,$C120,Dados!$D:$D,"iFood")</f>
        <v/>
      </c>
      <c r="E120" s="6">
        <f>SUMIFS(Dados!$E:$E,Dados!$B:$B,$B120,Dados!$C:$C,$C120,Dados!$D:$D,"Loja (Retirada)")</f>
        <v/>
      </c>
      <c r="F120" s="6">
        <f>SUMIFS(Dados!$E:$E,Dados!$B:$B,$B120,Dados!$C:$C,$C120,Dados!$D:$D,"Keeta")</f>
        <v/>
      </c>
      <c r="G120" s="6">
        <f>IFERROR(IF(E120=0,"",D120-E120),"")</f>
        <v/>
      </c>
      <c r="H120" s="7">
        <f>IFERROR(IF(E120=0,"",(D120-E120)/E120),"")</f>
        <v/>
      </c>
      <c r="I120" s="6">
        <f>IFERROR(IF(E120=0,"",F120-E120),"")</f>
        <v/>
      </c>
      <c r="J120" s="7">
        <f>IFERROR(IF(E120=0,"",(F120-E120)/E120),"")</f>
        <v/>
      </c>
      <c r="K120">
        <f>IFERROR(INDEX($D$1:$F$1,MATCH(MAX(D120:F120),D120:F120,0)),"")</f>
        <v/>
      </c>
      <c r="L120">
        <f>IFERROR(INDEX($D$1:$F$1,MATCH(MIN(IF(D120:F120&gt;0,D120:F120)),D120:F120,0)),"")</f>
        <v/>
      </c>
    </row>
    <row r="121">
      <c r="A121" t="inlineStr">
        <is>
          <t>Imperdíveis Pizzas salgadas</t>
        </is>
      </c>
      <c r="B121" t="inlineStr">
        <is>
          <t>Pizza Alho Poró</t>
        </is>
      </c>
      <c r="C121" t="inlineStr">
        <is>
          <t>Grande</t>
        </is>
      </c>
      <c r="D121" s="6">
        <f>SUMIFS(Dados!$E:$E,Dados!$B:$B,$B121,Dados!$C:$C,$C121,Dados!$D:$D,"iFood")</f>
        <v/>
      </c>
      <c r="E121" s="6">
        <f>SUMIFS(Dados!$E:$E,Dados!$B:$B,$B121,Dados!$C:$C,$C121,Dados!$D:$D,"Loja (Retirada)")</f>
        <v/>
      </c>
      <c r="F121" s="6">
        <f>SUMIFS(Dados!$E:$E,Dados!$B:$B,$B121,Dados!$C:$C,$C121,Dados!$D:$D,"Keeta")</f>
        <v/>
      </c>
      <c r="G121" s="6">
        <f>IFERROR(IF(E121=0,"",D121-E121),"")</f>
        <v/>
      </c>
      <c r="H121" s="7">
        <f>IFERROR(IF(E121=0,"",(D121-E121)/E121),"")</f>
        <v/>
      </c>
      <c r="I121" s="6">
        <f>IFERROR(IF(E121=0,"",F121-E121),"")</f>
        <v/>
      </c>
      <c r="J121" s="7">
        <f>IFERROR(IF(E121=0,"",(F121-E121)/E121),"")</f>
        <v/>
      </c>
      <c r="K121">
        <f>IFERROR(INDEX($D$1:$F$1,MATCH(MAX(D121:F121),D121:F121,0)),"")</f>
        <v/>
      </c>
      <c r="L121">
        <f>IFERROR(INDEX($D$1:$F$1,MATCH(MIN(IF(D121:F121&gt;0,D121:F121)),D121:F121,0)),"")</f>
        <v/>
      </c>
    </row>
    <row r="122">
      <c r="A122" t="inlineStr">
        <is>
          <t>Imperdíveis Pizzas salgadas</t>
        </is>
      </c>
      <c r="B122" t="inlineStr">
        <is>
          <t>Pizza Alho</t>
        </is>
      </c>
      <c r="C122" t="inlineStr">
        <is>
          <t>Brotinho</t>
        </is>
      </c>
      <c r="D122" s="6">
        <f>SUMIFS(Dados!$E:$E,Dados!$B:$B,$B122,Dados!$C:$C,$C122,Dados!$D:$D,"iFood")</f>
        <v/>
      </c>
      <c r="E122" s="6">
        <f>SUMIFS(Dados!$E:$E,Dados!$B:$B,$B122,Dados!$C:$C,$C122,Dados!$D:$D,"Loja (Retirada)")</f>
        <v/>
      </c>
      <c r="F122" s="6">
        <f>SUMIFS(Dados!$E:$E,Dados!$B:$B,$B122,Dados!$C:$C,$C122,Dados!$D:$D,"Keeta")</f>
        <v/>
      </c>
      <c r="G122" s="6">
        <f>IFERROR(IF(E122=0,"",D122-E122),"")</f>
        <v/>
      </c>
      <c r="H122" s="7">
        <f>IFERROR(IF(E122=0,"",(D122-E122)/E122),"")</f>
        <v/>
      </c>
      <c r="I122" s="6">
        <f>IFERROR(IF(E122=0,"",F122-E122),"")</f>
        <v/>
      </c>
      <c r="J122" s="7">
        <f>IFERROR(IF(E122=0,"",(F122-E122)/E122),"")</f>
        <v/>
      </c>
      <c r="K122">
        <f>IFERROR(INDEX($D$1:$F$1,MATCH(MAX(D122:F122),D122:F122,0)),"")</f>
        <v/>
      </c>
      <c r="L122">
        <f>IFERROR(INDEX($D$1:$F$1,MATCH(MIN(IF(D122:F122&gt;0,D122:F122)),D122:F122,0)),"")</f>
        <v/>
      </c>
    </row>
    <row r="123">
      <c r="A123" t="inlineStr">
        <is>
          <t>Imperdíveis Pizzas salgadas</t>
        </is>
      </c>
      <c r="B123" t="inlineStr">
        <is>
          <t>Pizza Alho</t>
        </is>
      </c>
      <c r="C123" t="inlineStr">
        <is>
          <t>Grande</t>
        </is>
      </c>
      <c r="D123" s="6">
        <f>SUMIFS(Dados!$E:$E,Dados!$B:$B,$B123,Dados!$C:$C,$C123,Dados!$D:$D,"iFood")</f>
        <v/>
      </c>
      <c r="E123" s="6">
        <f>SUMIFS(Dados!$E:$E,Dados!$B:$B,$B123,Dados!$C:$C,$C123,Dados!$D:$D,"Loja (Retirada)")</f>
        <v/>
      </c>
      <c r="F123" s="6">
        <f>SUMIFS(Dados!$E:$E,Dados!$B:$B,$B123,Dados!$C:$C,$C123,Dados!$D:$D,"Keeta")</f>
        <v/>
      </c>
      <c r="G123" s="6">
        <f>IFERROR(IF(E123=0,"",D123-E123),"")</f>
        <v/>
      </c>
      <c r="H123" s="7">
        <f>IFERROR(IF(E123=0,"",(D123-E123)/E123),"")</f>
        <v/>
      </c>
      <c r="I123" s="6">
        <f>IFERROR(IF(E123=0,"",F123-E123),"")</f>
        <v/>
      </c>
      <c r="J123" s="7">
        <f>IFERROR(IF(E123=0,"",(F123-E123)/E123),"")</f>
        <v/>
      </c>
      <c r="K123">
        <f>IFERROR(INDEX($D$1:$F$1,MATCH(MAX(D123:F123),D123:F123,0)),"")</f>
        <v/>
      </c>
      <c r="L123">
        <f>IFERROR(INDEX($D$1:$F$1,MATCH(MIN(IF(D123:F123&gt;0,D123:F123)),D123:F123,0)),"")</f>
        <v/>
      </c>
    </row>
    <row r="124">
      <c r="A124" t="inlineStr">
        <is>
          <t>Imperdíveis Pizzas salgadas</t>
        </is>
      </c>
      <c r="B124" t="inlineStr">
        <is>
          <t>Pizza Alcachofra Especial</t>
        </is>
      </c>
      <c r="C124" t="inlineStr">
        <is>
          <t>Brotinho</t>
        </is>
      </c>
      <c r="D124" s="6">
        <f>SUMIFS(Dados!$E:$E,Dados!$B:$B,$B124,Dados!$C:$C,$C124,Dados!$D:$D,"iFood")</f>
        <v/>
      </c>
      <c r="E124" s="6">
        <f>SUMIFS(Dados!$E:$E,Dados!$B:$B,$B124,Dados!$C:$C,$C124,Dados!$D:$D,"Loja (Retirada)")</f>
        <v/>
      </c>
      <c r="F124" s="6">
        <f>SUMIFS(Dados!$E:$E,Dados!$B:$B,$B124,Dados!$C:$C,$C124,Dados!$D:$D,"Keeta")</f>
        <v/>
      </c>
      <c r="G124" s="6">
        <f>IFERROR(IF(E124=0,"",D124-E124),"")</f>
        <v/>
      </c>
      <c r="H124" s="7">
        <f>IFERROR(IF(E124=0,"",(D124-E124)/E124),"")</f>
        <v/>
      </c>
      <c r="I124" s="6">
        <f>IFERROR(IF(E124=0,"",F124-E124),"")</f>
        <v/>
      </c>
      <c r="J124" s="7">
        <f>IFERROR(IF(E124=0,"",(F124-E124)/E124),"")</f>
        <v/>
      </c>
      <c r="K124">
        <f>IFERROR(INDEX($D$1:$F$1,MATCH(MAX(D124:F124),D124:F124,0)),"")</f>
        <v/>
      </c>
      <c r="L124">
        <f>IFERROR(INDEX($D$1:$F$1,MATCH(MIN(IF(D124:F124&gt;0,D124:F124)),D124:F124,0)),"")</f>
        <v/>
      </c>
    </row>
    <row r="125">
      <c r="A125" t="inlineStr">
        <is>
          <t>Imperdíveis Pizzas salgadas</t>
        </is>
      </c>
      <c r="B125" t="inlineStr">
        <is>
          <t>Pizza Alcachofra Especial</t>
        </is>
      </c>
      <c r="C125" t="inlineStr">
        <is>
          <t>Grande</t>
        </is>
      </c>
      <c r="D125" s="6">
        <f>SUMIFS(Dados!$E:$E,Dados!$B:$B,$B125,Dados!$C:$C,$C125,Dados!$D:$D,"iFood")</f>
        <v/>
      </c>
      <c r="E125" s="6">
        <f>SUMIFS(Dados!$E:$E,Dados!$B:$B,$B125,Dados!$C:$C,$C125,Dados!$D:$D,"Loja (Retirada)")</f>
        <v/>
      </c>
      <c r="F125" s="6">
        <f>SUMIFS(Dados!$E:$E,Dados!$B:$B,$B125,Dados!$C:$C,$C125,Dados!$D:$D,"Keeta")</f>
        <v/>
      </c>
      <c r="G125" s="6">
        <f>IFERROR(IF(E125=0,"",D125-E125),"")</f>
        <v/>
      </c>
      <c r="H125" s="7">
        <f>IFERROR(IF(E125=0,"",(D125-E125)/E125),"")</f>
        <v/>
      </c>
      <c r="I125" s="6">
        <f>IFERROR(IF(E125=0,"",F125-E125),"")</f>
        <v/>
      </c>
      <c r="J125" s="7">
        <f>IFERROR(IF(E125=0,"",(F125-E125)/E125),"")</f>
        <v/>
      </c>
      <c r="K125">
        <f>IFERROR(INDEX($D$1:$F$1,MATCH(MAX(D125:F125),D125:F125,0)),"")</f>
        <v/>
      </c>
      <c r="L125">
        <f>IFERROR(INDEX($D$1:$F$1,MATCH(MIN(IF(D125:F125&gt;0,D125:F125)),D125:F125,0)),"")</f>
        <v/>
      </c>
    </row>
    <row r="126">
      <c r="A126" t="inlineStr">
        <is>
          <t>Imperdíveis Pizzas salgadas</t>
        </is>
      </c>
      <c r="B126" t="inlineStr">
        <is>
          <t>Pizza Alcachofra</t>
        </is>
      </c>
      <c r="C126" t="inlineStr">
        <is>
          <t>Brotinho</t>
        </is>
      </c>
      <c r="D126" s="6">
        <f>SUMIFS(Dados!$E:$E,Dados!$B:$B,$B126,Dados!$C:$C,$C126,Dados!$D:$D,"iFood")</f>
        <v/>
      </c>
      <c r="E126" s="6">
        <f>SUMIFS(Dados!$E:$E,Dados!$B:$B,$B126,Dados!$C:$C,$C126,Dados!$D:$D,"Loja (Retirada)")</f>
        <v/>
      </c>
      <c r="F126" s="6">
        <f>SUMIFS(Dados!$E:$E,Dados!$B:$B,$B126,Dados!$C:$C,$C126,Dados!$D:$D,"Keeta")</f>
        <v/>
      </c>
      <c r="G126" s="6">
        <f>IFERROR(IF(E126=0,"",D126-E126),"")</f>
        <v/>
      </c>
      <c r="H126" s="7">
        <f>IFERROR(IF(E126=0,"",(D126-E126)/E126),"")</f>
        <v/>
      </c>
      <c r="I126" s="6">
        <f>IFERROR(IF(E126=0,"",F126-E126),"")</f>
        <v/>
      </c>
      <c r="J126" s="7">
        <f>IFERROR(IF(E126=0,"",(F126-E126)/E126),"")</f>
        <v/>
      </c>
      <c r="K126">
        <f>IFERROR(INDEX($D$1:$F$1,MATCH(MAX(D126:F126),D126:F126,0)),"")</f>
        <v/>
      </c>
      <c r="L126">
        <f>IFERROR(INDEX($D$1:$F$1,MATCH(MIN(IF(D126:F126&gt;0,D126:F126)),D126:F126,0)),"")</f>
        <v/>
      </c>
    </row>
    <row r="127">
      <c r="A127" t="inlineStr">
        <is>
          <t>Imperdíveis Pizzas salgadas</t>
        </is>
      </c>
      <c r="B127" t="inlineStr">
        <is>
          <t>Pizza Alcachofra</t>
        </is>
      </c>
      <c r="C127" t="inlineStr">
        <is>
          <t>Grande</t>
        </is>
      </c>
      <c r="D127" s="6">
        <f>SUMIFS(Dados!$E:$E,Dados!$B:$B,$B127,Dados!$C:$C,$C127,Dados!$D:$D,"iFood")</f>
        <v/>
      </c>
      <c r="E127" s="6">
        <f>SUMIFS(Dados!$E:$E,Dados!$B:$B,$B127,Dados!$C:$C,$C127,Dados!$D:$D,"Loja (Retirada)")</f>
        <v/>
      </c>
      <c r="F127" s="6">
        <f>SUMIFS(Dados!$E:$E,Dados!$B:$B,$B127,Dados!$C:$C,$C127,Dados!$D:$D,"Keeta")</f>
        <v/>
      </c>
      <c r="G127" s="6">
        <f>IFERROR(IF(E127=0,"",D127-E127),"")</f>
        <v/>
      </c>
      <c r="H127" s="7">
        <f>IFERROR(IF(E127=0,"",(D127-E127)/E127),"")</f>
        <v/>
      </c>
      <c r="I127" s="6">
        <f>IFERROR(IF(E127=0,"",F127-E127),"")</f>
        <v/>
      </c>
      <c r="J127" s="7">
        <f>IFERROR(IF(E127=0,"",(F127-E127)/E127),"")</f>
        <v/>
      </c>
      <c r="K127">
        <f>IFERROR(INDEX($D$1:$F$1,MATCH(MAX(D127:F127),D127:F127,0)),"")</f>
        <v/>
      </c>
      <c r="L127">
        <f>IFERROR(INDEX($D$1:$F$1,MATCH(MIN(IF(D127:F127&gt;0,D127:F127)),D127:F127,0)),"")</f>
        <v/>
      </c>
    </row>
    <row r="128">
      <c r="A128" t="inlineStr">
        <is>
          <t>Imperdíveis Pizzas salgadas</t>
        </is>
      </c>
      <c r="B128" t="inlineStr">
        <is>
          <t>Pizza Aladinele</t>
        </is>
      </c>
      <c r="C128" t="inlineStr">
        <is>
          <t>Brotinho</t>
        </is>
      </c>
      <c r="D128" s="6">
        <f>SUMIFS(Dados!$E:$E,Dados!$B:$B,$B128,Dados!$C:$C,$C128,Dados!$D:$D,"iFood")</f>
        <v/>
      </c>
      <c r="E128" s="6">
        <f>SUMIFS(Dados!$E:$E,Dados!$B:$B,$B128,Dados!$C:$C,$C128,Dados!$D:$D,"Loja (Retirada)")</f>
        <v/>
      </c>
      <c r="F128" s="6">
        <f>SUMIFS(Dados!$E:$E,Dados!$B:$B,$B128,Dados!$C:$C,$C128,Dados!$D:$D,"Keeta")</f>
        <v/>
      </c>
      <c r="G128" s="6">
        <f>IFERROR(IF(E128=0,"",D128-E128),"")</f>
        <v/>
      </c>
      <c r="H128" s="7">
        <f>IFERROR(IF(E128=0,"",(D128-E128)/E128),"")</f>
        <v/>
      </c>
      <c r="I128" s="6">
        <f>IFERROR(IF(E128=0,"",F128-E128),"")</f>
        <v/>
      </c>
      <c r="J128" s="7">
        <f>IFERROR(IF(E128=0,"",(F128-E128)/E128),"")</f>
        <v/>
      </c>
      <c r="K128">
        <f>IFERROR(INDEX($D$1:$F$1,MATCH(MAX(D128:F128),D128:F128,0)),"")</f>
        <v/>
      </c>
      <c r="L128">
        <f>IFERROR(INDEX($D$1:$F$1,MATCH(MIN(IF(D128:F128&gt;0,D128:F128)),D128:F128,0)),"")</f>
        <v/>
      </c>
    </row>
    <row r="129">
      <c r="A129" t="inlineStr">
        <is>
          <t>Imperdíveis Pizzas salgadas</t>
        </is>
      </c>
      <c r="B129" t="inlineStr">
        <is>
          <t>Pizza Aladinele</t>
        </is>
      </c>
      <c r="C129" t="inlineStr">
        <is>
          <t>Grande</t>
        </is>
      </c>
      <c r="D129" s="6">
        <f>SUMIFS(Dados!$E:$E,Dados!$B:$B,$B129,Dados!$C:$C,$C129,Dados!$D:$D,"iFood")</f>
        <v/>
      </c>
      <c r="E129" s="6">
        <f>SUMIFS(Dados!$E:$E,Dados!$B:$B,$B129,Dados!$C:$C,$C129,Dados!$D:$D,"Loja (Retirada)")</f>
        <v/>
      </c>
      <c r="F129" s="6">
        <f>SUMIFS(Dados!$E:$E,Dados!$B:$B,$B129,Dados!$C:$C,$C129,Dados!$D:$D,"Keeta")</f>
        <v/>
      </c>
      <c r="G129" s="6">
        <f>IFERROR(IF(E129=0,"",D129-E129),"")</f>
        <v/>
      </c>
      <c r="H129" s="7">
        <f>IFERROR(IF(E129=0,"",(D129-E129)/E129),"")</f>
        <v/>
      </c>
      <c r="I129" s="6">
        <f>IFERROR(IF(E129=0,"",F129-E129),"")</f>
        <v/>
      </c>
      <c r="J129" s="7">
        <f>IFERROR(IF(E129=0,"",(F129-E129)/E129),"")</f>
        <v/>
      </c>
      <c r="K129">
        <f>IFERROR(INDEX($D$1:$F$1,MATCH(MAX(D129:F129),D129:F129,0)),"")</f>
        <v/>
      </c>
      <c r="L129">
        <f>IFERROR(INDEX($D$1:$F$1,MATCH(MIN(IF(D129:F129&gt;0,D129:F129)),D129:F129,0)),"")</f>
        <v/>
      </c>
    </row>
    <row r="130">
      <c r="A130" t="inlineStr">
        <is>
          <t>Imperdíveis Pizzas salgadas</t>
        </is>
      </c>
      <c r="B130" t="inlineStr">
        <is>
          <t>Pizza Abobrinha</t>
        </is>
      </c>
      <c r="C130" t="inlineStr">
        <is>
          <t>Brotinho</t>
        </is>
      </c>
      <c r="D130" s="6">
        <f>SUMIFS(Dados!$E:$E,Dados!$B:$B,$B130,Dados!$C:$C,$C130,Dados!$D:$D,"iFood")</f>
        <v/>
      </c>
      <c r="E130" s="6">
        <f>SUMIFS(Dados!$E:$E,Dados!$B:$B,$B130,Dados!$C:$C,$C130,Dados!$D:$D,"Loja (Retirada)")</f>
        <v/>
      </c>
      <c r="F130" s="6">
        <f>SUMIFS(Dados!$E:$E,Dados!$B:$B,$B130,Dados!$C:$C,$C130,Dados!$D:$D,"Keeta")</f>
        <v/>
      </c>
      <c r="G130" s="6">
        <f>IFERROR(IF(E130=0,"",D130-E130),"")</f>
        <v/>
      </c>
      <c r="H130" s="7">
        <f>IFERROR(IF(E130=0,"",(D130-E130)/E130),"")</f>
        <v/>
      </c>
      <c r="I130" s="6">
        <f>IFERROR(IF(E130=0,"",F130-E130),"")</f>
        <v/>
      </c>
      <c r="J130" s="7">
        <f>IFERROR(IF(E130=0,"",(F130-E130)/E130),"")</f>
        <v/>
      </c>
      <c r="K130">
        <f>IFERROR(INDEX($D$1:$F$1,MATCH(MAX(D130:F130),D130:F130,0)),"")</f>
        <v/>
      </c>
      <c r="L130">
        <f>IFERROR(INDEX($D$1:$F$1,MATCH(MIN(IF(D130:F130&gt;0,D130:F130)),D130:F130,0)),"")</f>
        <v/>
      </c>
    </row>
    <row r="131">
      <c r="A131" t="inlineStr">
        <is>
          <t>Imperdíveis Pizzas salgadas</t>
        </is>
      </c>
      <c r="B131" t="inlineStr">
        <is>
          <t>Pizza Abobrinha</t>
        </is>
      </c>
      <c r="C131" t="inlineStr">
        <is>
          <t>Grande</t>
        </is>
      </c>
      <c r="D131" s="6">
        <f>SUMIFS(Dados!$E:$E,Dados!$B:$B,$B131,Dados!$C:$C,$C131,Dados!$D:$D,"iFood")</f>
        <v/>
      </c>
      <c r="E131" s="6">
        <f>SUMIFS(Dados!$E:$E,Dados!$B:$B,$B131,Dados!$C:$C,$C131,Dados!$D:$D,"Loja (Retirada)")</f>
        <v/>
      </c>
      <c r="F131" s="6">
        <f>SUMIFS(Dados!$E:$E,Dados!$B:$B,$B131,Dados!$C:$C,$C131,Dados!$D:$D,"Keeta")</f>
        <v/>
      </c>
      <c r="G131" s="6">
        <f>IFERROR(IF(E131=0,"",D131-E131),"")</f>
        <v/>
      </c>
      <c r="H131" s="7">
        <f>IFERROR(IF(E131=0,"",(D131-E131)/E131),"")</f>
        <v/>
      </c>
      <c r="I131" s="6">
        <f>IFERROR(IF(E131=0,"",F131-E131),"")</f>
        <v/>
      </c>
      <c r="J131" s="7">
        <f>IFERROR(IF(E131=0,"",(F131-E131)/E131),"")</f>
        <v/>
      </c>
      <c r="K131">
        <f>IFERROR(INDEX($D$1:$F$1,MATCH(MAX(D131:F131),D131:F131,0)),"")</f>
        <v/>
      </c>
      <c r="L131">
        <f>IFERROR(INDEX($D$1:$F$1,MATCH(MIN(IF(D131:F131&gt;0,D131:F131)),D131:F131,0)),"")</f>
        <v/>
      </c>
    </row>
    <row r="132">
      <c r="A132" t="inlineStr">
        <is>
          <t>Imperdíveis Pizzas salgadas</t>
        </is>
      </c>
      <c r="B132" t="inlineStr">
        <is>
          <t>Pizza À Moda Da Casa</t>
        </is>
      </c>
      <c r="C132" t="inlineStr">
        <is>
          <t>Brotinho</t>
        </is>
      </c>
      <c r="D132" s="6">
        <f>SUMIFS(Dados!$E:$E,Dados!$B:$B,$B132,Dados!$C:$C,$C132,Dados!$D:$D,"iFood")</f>
        <v/>
      </c>
      <c r="E132" s="6">
        <f>SUMIFS(Dados!$E:$E,Dados!$B:$B,$B132,Dados!$C:$C,$C132,Dados!$D:$D,"Loja (Retirada)")</f>
        <v/>
      </c>
      <c r="F132" s="6">
        <f>SUMIFS(Dados!$E:$E,Dados!$B:$B,$B132,Dados!$C:$C,$C132,Dados!$D:$D,"Keeta")</f>
        <v/>
      </c>
      <c r="G132" s="6">
        <f>IFERROR(IF(E132=0,"",D132-E132),"")</f>
        <v/>
      </c>
      <c r="H132" s="7">
        <f>IFERROR(IF(E132=0,"",(D132-E132)/E132),"")</f>
        <v/>
      </c>
      <c r="I132" s="6">
        <f>IFERROR(IF(E132=0,"",F132-E132),"")</f>
        <v/>
      </c>
      <c r="J132" s="7">
        <f>IFERROR(IF(E132=0,"",(F132-E132)/E132),"")</f>
        <v/>
      </c>
      <c r="K132">
        <f>IFERROR(INDEX($D$1:$F$1,MATCH(MAX(D132:F132),D132:F132,0)),"")</f>
        <v/>
      </c>
      <c r="L132">
        <f>IFERROR(INDEX($D$1:$F$1,MATCH(MIN(IF(D132:F132&gt;0,D132:F132)),D132:F132,0)),"")</f>
        <v/>
      </c>
    </row>
    <row r="133">
      <c r="A133" t="inlineStr">
        <is>
          <t>Imperdíveis Pizzas salgadas</t>
        </is>
      </c>
      <c r="B133" t="inlineStr">
        <is>
          <t>Pizza À Moda Da Casa</t>
        </is>
      </c>
      <c r="C133" t="inlineStr">
        <is>
          <t>Grande</t>
        </is>
      </c>
      <c r="D133" s="6">
        <f>SUMIFS(Dados!$E:$E,Dados!$B:$B,$B133,Dados!$C:$C,$C133,Dados!$D:$D,"iFood")</f>
        <v/>
      </c>
      <c r="E133" s="6">
        <f>SUMIFS(Dados!$E:$E,Dados!$B:$B,$B133,Dados!$C:$C,$C133,Dados!$D:$D,"Loja (Retirada)")</f>
        <v/>
      </c>
      <c r="F133" s="6">
        <f>SUMIFS(Dados!$E:$E,Dados!$B:$B,$B133,Dados!$C:$C,$C133,Dados!$D:$D,"Keeta")</f>
        <v/>
      </c>
      <c r="G133" s="6">
        <f>IFERROR(IF(E133=0,"",D133-E133),"")</f>
        <v/>
      </c>
      <c r="H133" s="7">
        <f>IFERROR(IF(E133=0,"",(D133-E133)/E133),"")</f>
        <v/>
      </c>
      <c r="I133" s="6">
        <f>IFERROR(IF(E133=0,"",F133-E133),"")</f>
        <v/>
      </c>
      <c r="J133" s="7">
        <f>IFERROR(IF(E133=0,"",(F133-E133)/E133),"")</f>
        <v/>
      </c>
      <c r="K133">
        <f>IFERROR(INDEX($D$1:$F$1,MATCH(MAX(D133:F133),D133:F133,0)),"")</f>
        <v/>
      </c>
      <c r="L133">
        <f>IFERROR(INDEX($D$1:$F$1,MATCH(MIN(IF(D133:F133&gt;0,D133:F133)),D133:F133,0)),"")</f>
        <v/>
      </c>
    </row>
    <row r="134">
      <c r="A134" t="inlineStr">
        <is>
          <t>Imperdíveis Pizzas salgadas</t>
        </is>
      </c>
      <c r="B134" t="inlineStr">
        <is>
          <t>Pizza 5 Queijos</t>
        </is>
      </c>
      <c r="C134" t="inlineStr">
        <is>
          <t>Brotinho</t>
        </is>
      </c>
      <c r="D134" s="6">
        <f>SUMIFS(Dados!$E:$E,Dados!$B:$B,$B134,Dados!$C:$C,$C134,Dados!$D:$D,"iFood")</f>
        <v/>
      </c>
      <c r="E134" s="6">
        <f>SUMIFS(Dados!$E:$E,Dados!$B:$B,$B134,Dados!$C:$C,$C134,Dados!$D:$D,"Loja (Retirada)")</f>
        <v/>
      </c>
      <c r="F134" s="6">
        <f>SUMIFS(Dados!$E:$E,Dados!$B:$B,$B134,Dados!$C:$C,$C134,Dados!$D:$D,"Keeta")</f>
        <v/>
      </c>
      <c r="G134" s="6">
        <f>IFERROR(IF(E134=0,"",D134-E134),"")</f>
        <v/>
      </c>
      <c r="H134" s="7">
        <f>IFERROR(IF(E134=0,"",(D134-E134)/E134),"")</f>
        <v/>
      </c>
      <c r="I134" s="6">
        <f>IFERROR(IF(E134=0,"",F134-E134),"")</f>
        <v/>
      </c>
      <c r="J134" s="7">
        <f>IFERROR(IF(E134=0,"",(F134-E134)/E134),"")</f>
        <v/>
      </c>
      <c r="K134">
        <f>IFERROR(INDEX($D$1:$F$1,MATCH(MAX(D134:F134),D134:F134,0)),"")</f>
        <v/>
      </c>
      <c r="L134">
        <f>IFERROR(INDEX($D$1:$F$1,MATCH(MIN(IF(D134:F134&gt;0,D134:F134)),D134:F134,0)),"")</f>
        <v/>
      </c>
    </row>
    <row r="135">
      <c r="A135" t="inlineStr">
        <is>
          <t>Imperdíveis Pizzas salgadas</t>
        </is>
      </c>
      <c r="B135" t="inlineStr">
        <is>
          <t>Pizza 5 Queijos</t>
        </is>
      </c>
      <c r="C135" t="inlineStr">
        <is>
          <t>Grande</t>
        </is>
      </c>
      <c r="D135" s="6">
        <f>SUMIFS(Dados!$E:$E,Dados!$B:$B,$B135,Dados!$C:$C,$C135,Dados!$D:$D,"iFood")</f>
        <v/>
      </c>
      <c r="E135" s="6">
        <f>SUMIFS(Dados!$E:$E,Dados!$B:$B,$B135,Dados!$C:$C,$C135,Dados!$D:$D,"Loja (Retirada)")</f>
        <v/>
      </c>
      <c r="F135" s="6">
        <f>SUMIFS(Dados!$E:$E,Dados!$B:$B,$B135,Dados!$C:$C,$C135,Dados!$D:$D,"Keeta")</f>
        <v/>
      </c>
      <c r="G135" s="6">
        <f>IFERROR(IF(E135=0,"",D135-E135),"")</f>
        <v/>
      </c>
      <c r="H135" s="7">
        <f>IFERROR(IF(E135=0,"",(D135-E135)/E135),"")</f>
        <v/>
      </c>
      <c r="I135" s="6">
        <f>IFERROR(IF(E135=0,"",F135-E135),"")</f>
        <v/>
      </c>
      <c r="J135" s="7">
        <f>IFERROR(IF(E135=0,"",(F135-E135)/E135),"")</f>
        <v/>
      </c>
      <c r="K135">
        <f>IFERROR(INDEX($D$1:$F$1,MATCH(MAX(D135:F135),D135:F135,0)),"")</f>
        <v/>
      </c>
      <c r="L135">
        <f>IFERROR(INDEX($D$1:$F$1,MATCH(MIN(IF(D135:F135&gt;0,D135:F135)),D135:F135,0)),"")</f>
        <v/>
      </c>
    </row>
    <row r="136">
      <c r="A136" t="inlineStr">
        <is>
          <t>Imperdíveis Pizzas salgadas</t>
        </is>
      </c>
      <c r="B136" t="inlineStr">
        <is>
          <t>Pizza 4 Queijos</t>
        </is>
      </c>
      <c r="C136" t="inlineStr">
        <is>
          <t>Brotinho</t>
        </is>
      </c>
      <c r="D136" s="6">
        <f>SUMIFS(Dados!$E:$E,Dados!$B:$B,$B136,Dados!$C:$C,$C136,Dados!$D:$D,"iFood")</f>
        <v/>
      </c>
      <c r="E136" s="6">
        <f>SUMIFS(Dados!$E:$E,Dados!$B:$B,$B136,Dados!$C:$C,$C136,Dados!$D:$D,"Loja (Retirada)")</f>
        <v/>
      </c>
      <c r="F136" s="6">
        <f>SUMIFS(Dados!$E:$E,Dados!$B:$B,$B136,Dados!$C:$C,$C136,Dados!$D:$D,"Keeta")</f>
        <v/>
      </c>
      <c r="G136" s="6">
        <f>IFERROR(IF(E136=0,"",D136-E136),"")</f>
        <v/>
      </c>
      <c r="H136" s="7">
        <f>IFERROR(IF(E136=0,"",(D136-E136)/E136),"")</f>
        <v/>
      </c>
      <c r="I136" s="6">
        <f>IFERROR(IF(E136=0,"",F136-E136),"")</f>
        <v/>
      </c>
      <c r="J136" s="7">
        <f>IFERROR(IF(E136=0,"",(F136-E136)/E136),"")</f>
        <v/>
      </c>
      <c r="K136">
        <f>IFERROR(INDEX($D$1:$F$1,MATCH(MAX(D136:F136),D136:F136,0)),"")</f>
        <v/>
      </c>
      <c r="L136">
        <f>IFERROR(INDEX($D$1:$F$1,MATCH(MIN(IF(D136:F136&gt;0,D136:F136)),D136:F136,0)),"")</f>
        <v/>
      </c>
    </row>
    <row r="137">
      <c r="A137" t="inlineStr">
        <is>
          <t>Imperdíveis Pizzas salgadas</t>
        </is>
      </c>
      <c r="B137" t="inlineStr">
        <is>
          <t>Pizza 4 Queijos</t>
        </is>
      </c>
      <c r="C137" t="inlineStr">
        <is>
          <t>Grande</t>
        </is>
      </c>
      <c r="D137" s="6">
        <f>SUMIFS(Dados!$E:$E,Dados!$B:$B,$B137,Dados!$C:$C,$C137,Dados!$D:$D,"iFood")</f>
        <v/>
      </c>
      <c r="E137" s="6">
        <f>SUMIFS(Dados!$E:$E,Dados!$B:$B,$B137,Dados!$C:$C,$C137,Dados!$D:$D,"Loja (Retirada)")</f>
        <v/>
      </c>
      <c r="F137" s="6">
        <f>SUMIFS(Dados!$E:$E,Dados!$B:$B,$B137,Dados!$C:$C,$C137,Dados!$D:$D,"Keeta")</f>
        <v/>
      </c>
      <c r="G137" s="6">
        <f>IFERROR(IF(E137=0,"",D137-E137),"")</f>
        <v/>
      </c>
      <c r="H137" s="7">
        <f>IFERROR(IF(E137=0,"",(D137-E137)/E137),"")</f>
        <v/>
      </c>
      <c r="I137" s="6">
        <f>IFERROR(IF(E137=0,"",F137-E137),"")</f>
        <v/>
      </c>
      <c r="J137" s="7">
        <f>IFERROR(IF(E137=0,"",(F137-E137)/E137),"")</f>
        <v/>
      </c>
      <c r="K137">
        <f>IFERROR(INDEX($D$1:$F$1,MATCH(MAX(D137:F137),D137:F137,0)),"")</f>
        <v/>
      </c>
      <c r="L137">
        <f>IFERROR(INDEX($D$1:$F$1,MATCH(MIN(IF(D137:F137&gt;0,D137:F137)),D137:F137,0)),"")</f>
        <v/>
      </c>
    </row>
    <row r="138">
      <c r="A138" t="inlineStr">
        <is>
          <t>Imperdíveis Pizzas salgadas</t>
        </is>
      </c>
      <c r="B138" t="inlineStr">
        <is>
          <t>Pizza 2 Queijos</t>
        </is>
      </c>
      <c r="C138" t="inlineStr">
        <is>
          <t>Brotinho</t>
        </is>
      </c>
      <c r="D138" s="6">
        <f>SUMIFS(Dados!$E:$E,Dados!$B:$B,$B138,Dados!$C:$C,$C138,Dados!$D:$D,"iFood")</f>
        <v/>
      </c>
      <c r="E138" s="6">
        <f>SUMIFS(Dados!$E:$E,Dados!$B:$B,$B138,Dados!$C:$C,$C138,Dados!$D:$D,"Loja (Retirada)")</f>
        <v/>
      </c>
      <c r="F138" s="6">
        <f>SUMIFS(Dados!$E:$E,Dados!$B:$B,$B138,Dados!$C:$C,$C138,Dados!$D:$D,"Keeta")</f>
        <v/>
      </c>
      <c r="G138" s="6">
        <f>IFERROR(IF(E138=0,"",D138-E138),"")</f>
        <v/>
      </c>
      <c r="H138" s="7">
        <f>IFERROR(IF(E138=0,"",(D138-E138)/E138),"")</f>
        <v/>
      </c>
      <c r="I138" s="6">
        <f>IFERROR(IF(E138=0,"",F138-E138),"")</f>
        <v/>
      </c>
      <c r="J138" s="7">
        <f>IFERROR(IF(E138=0,"",(F138-E138)/E138),"")</f>
        <v/>
      </c>
      <c r="K138">
        <f>IFERROR(INDEX($D$1:$F$1,MATCH(MAX(D138:F138),D138:F138,0)),"")</f>
        <v/>
      </c>
      <c r="L138">
        <f>IFERROR(INDEX($D$1:$F$1,MATCH(MIN(IF(D138:F138&gt;0,D138:F138)),D138:F138,0)),"")</f>
        <v/>
      </c>
    </row>
    <row r="139">
      <c r="A139" t="inlineStr">
        <is>
          <t>Imperdíveis Pizzas salgadas</t>
        </is>
      </c>
      <c r="B139" t="inlineStr">
        <is>
          <t>Pizza 2 Queijos</t>
        </is>
      </c>
      <c r="C139" t="inlineStr">
        <is>
          <t>Grande</t>
        </is>
      </c>
      <c r="D139" s="6">
        <f>SUMIFS(Dados!$E:$E,Dados!$B:$B,$B139,Dados!$C:$C,$C139,Dados!$D:$D,"iFood")</f>
        <v/>
      </c>
      <c r="E139" s="6">
        <f>SUMIFS(Dados!$E:$E,Dados!$B:$B,$B139,Dados!$C:$C,$C139,Dados!$D:$D,"Loja (Retirada)")</f>
        <v/>
      </c>
      <c r="F139" s="6">
        <f>SUMIFS(Dados!$E:$E,Dados!$B:$B,$B139,Dados!$C:$C,$C139,Dados!$D:$D,"Keeta")</f>
        <v/>
      </c>
      <c r="G139" s="6">
        <f>IFERROR(IF(E139=0,"",D139-E139),"")</f>
        <v/>
      </c>
      <c r="H139" s="7">
        <f>IFERROR(IF(E139=0,"",(D139-E139)/E139),"")</f>
        <v/>
      </c>
      <c r="I139" s="6">
        <f>IFERROR(IF(E139=0,"",F139-E139),"")</f>
        <v/>
      </c>
      <c r="J139" s="7">
        <f>IFERROR(IF(E139=0,"",(F139-E139)/E139),"")</f>
        <v/>
      </c>
      <c r="K139">
        <f>IFERROR(INDEX($D$1:$F$1,MATCH(MAX(D139:F139),D139:F139,0)),"")</f>
        <v/>
      </c>
      <c r="L139">
        <f>IFERROR(INDEX($D$1:$F$1,MATCH(MIN(IF(D139:F139&gt;0,D139:F139)),D139:F139,0)),"")</f>
        <v/>
      </c>
    </row>
    <row r="140">
      <c r="A140" t="inlineStr">
        <is>
          <t>As Queridinhas Pizzas Doces</t>
        </is>
      </c>
      <c r="B140" t="inlineStr">
        <is>
          <t>Chocolate com morango</t>
        </is>
      </c>
      <c r="C140" t="inlineStr">
        <is>
          <t>Brotinho</t>
        </is>
      </c>
      <c r="D140" s="6">
        <f>SUMIFS(Dados!$E:$E,Dados!$B:$B,$B140,Dados!$C:$C,$C140,Dados!$D:$D,"iFood")</f>
        <v/>
      </c>
      <c r="E140" s="6">
        <f>SUMIFS(Dados!$E:$E,Dados!$B:$B,$B140,Dados!$C:$C,$C140,Dados!$D:$D,"Loja (Retirada)")</f>
        <v/>
      </c>
      <c r="F140" s="6">
        <f>SUMIFS(Dados!$E:$E,Dados!$B:$B,$B140,Dados!$C:$C,$C140,Dados!$D:$D,"Keeta")</f>
        <v/>
      </c>
      <c r="G140" s="6">
        <f>IFERROR(IF(E140=0,"",D140-E140),"")</f>
        <v/>
      </c>
      <c r="H140" s="7">
        <f>IFERROR(IF(E140=0,"",(D140-E140)/E140),"")</f>
        <v/>
      </c>
      <c r="I140" s="6">
        <f>IFERROR(IF(E140=0,"",F140-E140),"")</f>
        <v/>
      </c>
      <c r="J140" s="7">
        <f>IFERROR(IF(E140=0,"",(F140-E140)/E140),"")</f>
        <v/>
      </c>
      <c r="K140">
        <f>IFERROR(INDEX($D$1:$F$1,MATCH(MAX(D140:F140),D140:F140,0)),"")</f>
        <v/>
      </c>
      <c r="L140">
        <f>IFERROR(INDEX($D$1:$F$1,MATCH(MIN(IF(D140:F140&gt;0,D140:F140)),D140:F140,0)),"")</f>
        <v/>
      </c>
    </row>
    <row r="141">
      <c r="A141" t="inlineStr">
        <is>
          <t>As Queridinhas Pizzas Doces</t>
        </is>
      </c>
      <c r="B141" t="inlineStr">
        <is>
          <t>Chocolate com morango</t>
        </is>
      </c>
      <c r="C141" t="inlineStr">
        <is>
          <t>Grande</t>
        </is>
      </c>
      <c r="D141" s="6">
        <f>SUMIFS(Dados!$E:$E,Dados!$B:$B,$B141,Dados!$C:$C,$C141,Dados!$D:$D,"iFood")</f>
        <v/>
      </c>
      <c r="E141" s="6">
        <f>SUMIFS(Dados!$E:$E,Dados!$B:$B,$B141,Dados!$C:$C,$C141,Dados!$D:$D,"Loja (Retirada)")</f>
        <v/>
      </c>
      <c r="F141" s="6">
        <f>SUMIFS(Dados!$E:$E,Dados!$B:$B,$B141,Dados!$C:$C,$C141,Dados!$D:$D,"Keeta")</f>
        <v/>
      </c>
      <c r="G141" s="6">
        <f>IFERROR(IF(E141=0,"",D141-E141),"")</f>
        <v/>
      </c>
      <c r="H141" s="7">
        <f>IFERROR(IF(E141=0,"",(D141-E141)/E141),"")</f>
        <v/>
      </c>
      <c r="I141" s="6">
        <f>IFERROR(IF(E141=0,"",F141-E141),"")</f>
        <v/>
      </c>
      <c r="J141" s="7">
        <f>IFERROR(IF(E141=0,"",(F141-E141)/E141),"")</f>
        <v/>
      </c>
      <c r="K141">
        <f>IFERROR(INDEX($D$1:$F$1,MATCH(MAX(D141:F141),D141:F141,0)),"")</f>
        <v/>
      </c>
      <c r="L141">
        <f>IFERROR(INDEX($D$1:$F$1,MATCH(MIN(IF(D141:F141&gt;0,D141:F141)),D141:F141,0)),"")</f>
        <v/>
      </c>
    </row>
    <row r="142">
      <c r="A142" t="inlineStr">
        <is>
          <t>As Queridinhas Pizzas Doces</t>
        </is>
      </c>
      <c r="B142" t="inlineStr">
        <is>
          <t>Pizza Romeu E Julieta</t>
        </is>
      </c>
      <c r="C142" t="inlineStr">
        <is>
          <t>Brotinho</t>
        </is>
      </c>
      <c r="D142" s="6">
        <f>SUMIFS(Dados!$E:$E,Dados!$B:$B,$B142,Dados!$C:$C,$C142,Dados!$D:$D,"iFood")</f>
        <v/>
      </c>
      <c r="E142" s="6">
        <f>SUMIFS(Dados!$E:$E,Dados!$B:$B,$B142,Dados!$C:$C,$C142,Dados!$D:$D,"Loja (Retirada)")</f>
        <v/>
      </c>
      <c r="F142" s="6">
        <f>SUMIFS(Dados!$E:$E,Dados!$B:$B,$B142,Dados!$C:$C,$C142,Dados!$D:$D,"Keeta")</f>
        <v/>
      </c>
      <c r="G142" s="6">
        <f>IFERROR(IF(E142=0,"",D142-E142),"")</f>
        <v/>
      </c>
      <c r="H142" s="7">
        <f>IFERROR(IF(E142=0,"",(D142-E142)/E142),"")</f>
        <v/>
      </c>
      <c r="I142" s="6">
        <f>IFERROR(IF(E142=0,"",F142-E142),"")</f>
        <v/>
      </c>
      <c r="J142" s="7">
        <f>IFERROR(IF(E142=0,"",(F142-E142)/E142),"")</f>
        <v/>
      </c>
      <c r="K142">
        <f>IFERROR(INDEX($D$1:$F$1,MATCH(MAX(D142:F142),D142:F142,0)),"")</f>
        <v/>
      </c>
      <c r="L142">
        <f>IFERROR(INDEX($D$1:$F$1,MATCH(MIN(IF(D142:F142&gt;0,D142:F142)),D142:F142,0)),"")</f>
        <v/>
      </c>
    </row>
    <row r="143">
      <c r="A143" t="inlineStr">
        <is>
          <t>As Queridinhas Pizzas Doces</t>
        </is>
      </c>
      <c r="B143" t="inlineStr">
        <is>
          <t>Pizza Romeu E Julieta</t>
        </is>
      </c>
      <c r="C143" t="inlineStr">
        <is>
          <t>Grande</t>
        </is>
      </c>
      <c r="D143" s="6">
        <f>SUMIFS(Dados!$E:$E,Dados!$B:$B,$B143,Dados!$C:$C,$C143,Dados!$D:$D,"iFood")</f>
        <v/>
      </c>
      <c r="E143" s="6">
        <f>SUMIFS(Dados!$E:$E,Dados!$B:$B,$B143,Dados!$C:$C,$C143,Dados!$D:$D,"Loja (Retirada)")</f>
        <v/>
      </c>
      <c r="F143" s="6">
        <f>SUMIFS(Dados!$E:$E,Dados!$B:$B,$B143,Dados!$C:$C,$C143,Dados!$D:$D,"Keeta")</f>
        <v/>
      </c>
      <c r="G143" s="6">
        <f>IFERROR(IF(E143=0,"",D143-E143),"")</f>
        <v/>
      </c>
      <c r="H143" s="7">
        <f>IFERROR(IF(E143=0,"",(D143-E143)/E143),"")</f>
        <v/>
      </c>
      <c r="I143" s="6">
        <f>IFERROR(IF(E143=0,"",F143-E143),"")</f>
        <v/>
      </c>
      <c r="J143" s="7">
        <f>IFERROR(IF(E143=0,"",(F143-E143)/E143),"")</f>
        <v/>
      </c>
      <c r="K143">
        <f>IFERROR(INDEX($D$1:$F$1,MATCH(MAX(D143:F143),D143:F143,0)),"")</f>
        <v/>
      </c>
      <c r="L143">
        <f>IFERROR(INDEX($D$1:$F$1,MATCH(MIN(IF(D143:F143&gt;0,D143:F143)),D143:F143,0)),"")</f>
        <v/>
      </c>
    </row>
    <row r="144">
      <c r="A144" t="inlineStr">
        <is>
          <t>As Queridinhas Pizzas Doces</t>
        </is>
      </c>
      <c r="B144" t="inlineStr">
        <is>
          <t>Pizza Brigadeiro</t>
        </is>
      </c>
      <c r="C144" t="inlineStr">
        <is>
          <t>Brotinho</t>
        </is>
      </c>
      <c r="D144" s="6">
        <f>SUMIFS(Dados!$E:$E,Dados!$B:$B,$B144,Dados!$C:$C,$C144,Dados!$D:$D,"iFood")</f>
        <v/>
      </c>
      <c r="E144" s="6">
        <f>SUMIFS(Dados!$E:$E,Dados!$B:$B,$B144,Dados!$C:$C,$C144,Dados!$D:$D,"Loja (Retirada)")</f>
        <v/>
      </c>
      <c r="F144" s="6">
        <f>SUMIFS(Dados!$E:$E,Dados!$B:$B,$B144,Dados!$C:$C,$C144,Dados!$D:$D,"Keeta")</f>
        <v/>
      </c>
      <c r="G144" s="6">
        <f>IFERROR(IF(E144=0,"",D144-E144),"")</f>
        <v/>
      </c>
      <c r="H144" s="7">
        <f>IFERROR(IF(E144=0,"",(D144-E144)/E144),"")</f>
        <v/>
      </c>
      <c r="I144" s="6">
        <f>IFERROR(IF(E144=0,"",F144-E144),"")</f>
        <v/>
      </c>
      <c r="J144" s="7">
        <f>IFERROR(IF(E144=0,"",(F144-E144)/E144),"")</f>
        <v/>
      </c>
      <c r="K144">
        <f>IFERROR(INDEX($D$1:$F$1,MATCH(MAX(D144:F144),D144:F144,0)),"")</f>
        <v/>
      </c>
      <c r="L144">
        <f>IFERROR(INDEX($D$1:$F$1,MATCH(MIN(IF(D144:F144&gt;0,D144:F144)),D144:F144,0)),"")</f>
        <v/>
      </c>
    </row>
    <row r="145">
      <c r="A145" t="inlineStr">
        <is>
          <t>As Queridinhas Pizzas Doces</t>
        </is>
      </c>
      <c r="B145" t="inlineStr">
        <is>
          <t>Pizza Brigadeiro</t>
        </is>
      </c>
      <c r="C145" t="inlineStr">
        <is>
          <t>Grande</t>
        </is>
      </c>
      <c r="D145" s="6">
        <f>SUMIFS(Dados!$E:$E,Dados!$B:$B,$B145,Dados!$C:$C,$C145,Dados!$D:$D,"iFood")</f>
        <v/>
      </c>
      <c r="E145" s="6">
        <f>SUMIFS(Dados!$E:$E,Dados!$B:$B,$B145,Dados!$C:$C,$C145,Dados!$D:$D,"Loja (Retirada)")</f>
        <v/>
      </c>
      <c r="F145" s="6">
        <f>SUMIFS(Dados!$E:$E,Dados!$B:$B,$B145,Dados!$C:$C,$C145,Dados!$D:$D,"Keeta")</f>
        <v/>
      </c>
      <c r="G145" s="6">
        <f>IFERROR(IF(E145=0,"",D145-E145),"")</f>
        <v/>
      </c>
      <c r="H145" s="7">
        <f>IFERROR(IF(E145=0,"",(D145-E145)/E145),"")</f>
        <v/>
      </c>
      <c r="I145" s="6">
        <f>IFERROR(IF(E145=0,"",F145-E145),"")</f>
        <v/>
      </c>
      <c r="J145" s="7">
        <f>IFERROR(IF(E145=0,"",(F145-E145)/E145),"")</f>
        <v/>
      </c>
      <c r="K145">
        <f>IFERROR(INDEX($D$1:$F$1,MATCH(MAX(D145:F145),D145:F145,0)),"")</f>
        <v/>
      </c>
      <c r="L145">
        <f>IFERROR(INDEX($D$1:$F$1,MATCH(MIN(IF(D145:F145&gt;0,D145:F145)),D145:F145,0)),"")</f>
        <v/>
      </c>
    </row>
    <row r="146">
      <c r="A146" t="inlineStr">
        <is>
          <t>As Queridinhas Pizzas Doces</t>
        </is>
      </c>
      <c r="B146" t="inlineStr">
        <is>
          <t>Pizza Banana</t>
        </is>
      </c>
      <c r="C146" t="inlineStr">
        <is>
          <t>Brotinho</t>
        </is>
      </c>
      <c r="D146" s="6">
        <f>SUMIFS(Dados!$E:$E,Dados!$B:$B,$B146,Dados!$C:$C,$C146,Dados!$D:$D,"iFood")</f>
        <v/>
      </c>
      <c r="E146" s="6">
        <f>SUMIFS(Dados!$E:$E,Dados!$B:$B,$B146,Dados!$C:$C,$C146,Dados!$D:$D,"Loja (Retirada)")</f>
        <v/>
      </c>
      <c r="F146" s="6">
        <f>SUMIFS(Dados!$E:$E,Dados!$B:$B,$B146,Dados!$C:$C,$C146,Dados!$D:$D,"Keeta")</f>
        <v/>
      </c>
      <c r="G146" s="6">
        <f>IFERROR(IF(E146=0,"",D146-E146),"")</f>
        <v/>
      </c>
      <c r="H146" s="7">
        <f>IFERROR(IF(E146=0,"",(D146-E146)/E146),"")</f>
        <v/>
      </c>
      <c r="I146" s="6">
        <f>IFERROR(IF(E146=0,"",F146-E146),"")</f>
        <v/>
      </c>
      <c r="J146" s="7">
        <f>IFERROR(IF(E146=0,"",(F146-E146)/E146),"")</f>
        <v/>
      </c>
      <c r="K146">
        <f>IFERROR(INDEX($D$1:$F$1,MATCH(MAX(D146:F146),D146:F146,0)),"")</f>
        <v/>
      </c>
      <c r="L146">
        <f>IFERROR(INDEX($D$1:$F$1,MATCH(MIN(IF(D146:F146&gt;0,D146:F146)),D146:F146,0)),"")</f>
        <v/>
      </c>
    </row>
    <row r="147">
      <c r="A147" t="inlineStr">
        <is>
          <t>As Queridinhas Pizzas Doces</t>
        </is>
      </c>
      <c r="B147" t="inlineStr">
        <is>
          <t>Pizza Banana</t>
        </is>
      </c>
      <c r="C147" t="inlineStr">
        <is>
          <t>Grande</t>
        </is>
      </c>
      <c r="D147" s="6">
        <f>SUMIFS(Dados!$E:$E,Dados!$B:$B,$B147,Dados!$C:$C,$C147,Dados!$D:$D,"iFood")</f>
        <v/>
      </c>
      <c r="E147" s="6">
        <f>SUMIFS(Dados!$E:$E,Dados!$B:$B,$B147,Dados!$C:$C,$C147,Dados!$D:$D,"Loja (Retirada)")</f>
        <v/>
      </c>
      <c r="F147" s="6">
        <f>SUMIFS(Dados!$E:$E,Dados!$B:$B,$B147,Dados!$C:$C,$C147,Dados!$D:$D,"Keeta")</f>
        <v/>
      </c>
      <c r="G147" s="6">
        <f>IFERROR(IF(E147=0,"",D147-E147),"")</f>
        <v/>
      </c>
      <c r="H147" s="7">
        <f>IFERROR(IF(E147=0,"",(D147-E147)/E147),"")</f>
        <v/>
      </c>
      <c r="I147" s="6">
        <f>IFERROR(IF(E147=0,"",F147-E147),"")</f>
        <v/>
      </c>
      <c r="J147" s="7">
        <f>IFERROR(IF(E147=0,"",(F147-E147)/E147),"")</f>
        <v/>
      </c>
      <c r="K147">
        <f>IFERROR(INDEX($D$1:$F$1,MATCH(MAX(D147:F147),D147:F147,0)),"")</f>
        <v/>
      </c>
      <c r="L147">
        <f>IFERROR(INDEX($D$1:$F$1,MATCH(MIN(IF(D147:F147&gt;0,D147:F147)),D147:F147,0)),"")</f>
        <v/>
      </c>
    </row>
    <row r="148">
      <c r="A148" t="inlineStr">
        <is>
          <t>Incrível Sobremesa</t>
        </is>
      </c>
      <c r="B148" t="inlineStr">
        <is>
          <t>Torta Holandesa</t>
        </is>
      </c>
      <c r="C148" t="inlineStr">
        <is>
          <t>Único</t>
        </is>
      </c>
      <c r="D148" s="6">
        <f>SUMIFS(Dados!$E:$E,Dados!$B:$B,$B148,Dados!$C:$C,$C148,Dados!$D:$D,"iFood")</f>
        <v/>
      </c>
      <c r="E148" s="6">
        <f>SUMIFS(Dados!$E:$E,Dados!$B:$B,$B148,Dados!$C:$C,$C148,Dados!$D:$D,"Loja (Retirada)")</f>
        <v/>
      </c>
      <c r="F148" s="6">
        <f>SUMIFS(Dados!$E:$E,Dados!$B:$B,$B148,Dados!$C:$C,$C148,Dados!$D:$D,"Keeta")</f>
        <v/>
      </c>
      <c r="G148" s="6">
        <f>IFERROR(IF(E148=0,"",D148-E148),"")</f>
        <v/>
      </c>
      <c r="H148" s="7">
        <f>IFERROR(IF(E148=0,"",(D148-E148)/E148),"")</f>
        <v/>
      </c>
      <c r="I148" s="6">
        <f>IFERROR(IF(E148=0,"",F148-E148),"")</f>
        <v/>
      </c>
      <c r="J148" s="7">
        <f>IFERROR(IF(E148=0,"",(F148-E148)/E148),"")</f>
        <v/>
      </c>
      <c r="K148">
        <f>IFERROR(INDEX($D$1:$F$1,MATCH(MAX(D148:F148),D148:F148,0)),"")</f>
        <v/>
      </c>
      <c r="L148">
        <f>IFERROR(INDEX($D$1:$F$1,MATCH(MIN(IF(D148:F148&gt;0,D148:F148)),D148:F148,0)),"")</f>
        <v/>
      </c>
    </row>
  </sheetData>
  <conditionalFormatting sqref="H2:H14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5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8" t="inlineStr">
        <is>
          <t>Configuração de taxas</t>
        </is>
      </c>
      <c r="K1" s="2" t="inlineStr">
        <is>
          <t>Edite B3:B5 (taxas) para recalcular automaticamente todos os líquidos.</t>
        </is>
      </c>
    </row>
    <row r="2">
      <c r="A2" s="5" t="inlineStr">
        <is>
          <t>Canal</t>
        </is>
      </c>
      <c r="B2" s="5" t="inlineStr">
        <is>
          <t>Taxa (%)</t>
        </is>
      </c>
      <c r="C2" s="5" t="inlineStr">
        <is>
          <t>Repasse líquido por R$ 1</t>
        </is>
      </c>
    </row>
    <row r="3">
      <c r="A3" t="inlineStr">
        <is>
          <t>iFood</t>
        </is>
      </c>
      <c r="B3" s="7" t="n">
        <v>0.23</v>
      </c>
      <c r="C3" s="6">
        <f>1-B3</f>
        <v/>
      </c>
    </row>
    <row r="4">
      <c r="A4" t="inlineStr">
        <is>
          <t>Loja (Retirada)</t>
        </is>
      </c>
      <c r="B4" s="7" t="n">
        <v>0</v>
      </c>
      <c r="C4" s="6">
        <f>1-B4</f>
        <v/>
      </c>
    </row>
    <row r="5">
      <c r="A5" t="inlineStr">
        <is>
          <t>Keeta</t>
        </is>
      </c>
      <c r="B5" s="7" t="n">
        <v>0.18</v>
      </c>
      <c r="C5" s="6">
        <f>1-B5</f>
        <v/>
      </c>
    </row>
    <row r="7">
      <c r="A7" s="8" t="inlineStr">
        <is>
          <t>Líquido por sabor x tamanho</t>
        </is>
      </c>
    </row>
    <row r="8">
      <c r="A8" s="5" t="inlineStr">
        <is>
          <t>Categoria</t>
        </is>
      </c>
      <c r="B8" s="5" t="inlineStr">
        <is>
          <t>Sabor</t>
        </is>
      </c>
      <c r="C8" s="5" t="inlineStr">
        <is>
          <t>Tamanho</t>
        </is>
      </c>
      <c r="D8" s="5" t="inlineStr">
        <is>
          <t>Bruto iFood</t>
        </is>
      </c>
      <c r="E8" s="5" t="inlineStr">
        <is>
          <t>Bruto Loja</t>
        </is>
      </c>
      <c r="F8" s="5" t="inlineStr">
        <is>
          <t>Bruto Keeta</t>
        </is>
      </c>
      <c r="G8" s="5" t="inlineStr">
        <is>
          <t>Líquido iFood</t>
        </is>
      </c>
      <c r="H8" s="5" t="inlineStr">
        <is>
          <t>Líquido Loja</t>
        </is>
      </c>
      <c r="I8" s="5" t="inlineStr">
        <is>
          <t>Líquido Keeta</t>
        </is>
      </c>
    </row>
    <row r="9">
      <c r="A9" t="inlineStr">
        <is>
          <t>Cabe no seu bolso!!!</t>
        </is>
      </c>
      <c r="B9" t="inlineStr">
        <is>
          <t>Atum especial com mussarela</t>
        </is>
      </c>
      <c r="C9" t="inlineStr">
        <is>
          <t>Brotinho</t>
        </is>
      </c>
      <c r="D9" s="6">
        <f>IFERROR(INDEX(Comparativo!D:D,MATCH(1,(Comparativo!$B:$B=$B9)*(Comparativo!$C:$C=$C9),0)),"")</f>
        <v/>
      </c>
      <c r="E9" s="6">
        <f>IFERROR(INDEX(Comparativo!E:E,MATCH(1,(Comparativo!$B:$B=$B9)*(Comparativo!$C:$C=$C9),0)),"")</f>
        <v/>
      </c>
      <c r="F9" s="6">
        <f>IFERROR(INDEX(Comparativo!F:F,MATCH(1,(Comparativo!$B:$B=$B9)*(Comparativo!$C:$C=$C9),0)),"")</f>
        <v/>
      </c>
      <c r="G9" s="6">
        <f>IFERROR(D9*$C$3,"")</f>
        <v/>
      </c>
      <c r="H9" s="6">
        <f>IFERROR(E9*$C$4,"")</f>
        <v/>
      </c>
      <c r="I9" s="6">
        <f>IFERROR(F9*$C$5,"")</f>
        <v/>
      </c>
    </row>
    <row r="10">
      <c r="A10" t="inlineStr">
        <is>
          <t>Cabe no seu bolso!!!</t>
        </is>
      </c>
      <c r="B10" t="inlineStr">
        <is>
          <t>Atum especial com mussarela</t>
        </is>
      </c>
      <c r="C10" t="inlineStr">
        <is>
          <t>Grande</t>
        </is>
      </c>
      <c r="D10" s="6">
        <f>IFERROR(INDEX(Comparativo!D:D,MATCH(1,(Comparativo!$B:$B=$B10)*(Comparativo!$C:$C=$C10),0)),"")</f>
        <v/>
      </c>
      <c r="E10" s="6">
        <f>IFERROR(INDEX(Comparativo!E:E,MATCH(1,(Comparativo!$B:$B=$B10)*(Comparativo!$C:$C=$C10),0)),"")</f>
        <v/>
      </c>
      <c r="F10" s="6">
        <f>IFERROR(INDEX(Comparativo!F:F,MATCH(1,(Comparativo!$B:$B=$B10)*(Comparativo!$C:$C=$C10),0)),"")</f>
        <v/>
      </c>
      <c r="G10" s="6">
        <f>IFERROR(D10*$C$3,"")</f>
        <v/>
      </c>
      <c r="H10" s="6">
        <f>IFERROR(E10*$C$4,"")</f>
        <v/>
      </c>
      <c r="I10" s="6">
        <f>IFERROR(F10*$C$5,"")</f>
        <v/>
      </c>
    </row>
    <row r="11">
      <c r="A11" t="inlineStr">
        <is>
          <t>Cabe no seu bolso!!!</t>
        </is>
      </c>
      <c r="B11" t="inlineStr">
        <is>
          <t>Atum ralado com mussarela</t>
        </is>
      </c>
      <c r="C11" t="inlineStr">
        <is>
          <t>Brotinho</t>
        </is>
      </c>
      <c r="D11" s="6">
        <f>IFERROR(INDEX(Comparativo!D:D,MATCH(1,(Comparativo!$B:$B=$B11)*(Comparativo!$C:$C=$C11),0)),"")</f>
        <v/>
      </c>
      <c r="E11" s="6">
        <f>IFERROR(INDEX(Comparativo!E:E,MATCH(1,(Comparativo!$B:$B=$B11)*(Comparativo!$C:$C=$C11),0)),"")</f>
        <v/>
      </c>
      <c r="F11" s="6">
        <f>IFERROR(INDEX(Comparativo!F:F,MATCH(1,(Comparativo!$B:$B=$B11)*(Comparativo!$C:$C=$C11),0)),"")</f>
        <v/>
      </c>
      <c r="G11" s="6">
        <f>IFERROR(D11*$C$3,"")</f>
        <v/>
      </c>
      <c r="H11" s="6">
        <f>IFERROR(E11*$C$4,"")</f>
        <v/>
      </c>
      <c r="I11" s="6">
        <f>IFERROR(F11*$C$5,"")</f>
        <v/>
      </c>
    </row>
    <row r="12">
      <c r="A12" t="inlineStr">
        <is>
          <t>Cabe no seu bolso!!!</t>
        </is>
      </c>
      <c r="B12" t="inlineStr">
        <is>
          <t>Atum ralado com mussarela</t>
        </is>
      </c>
      <c r="C12" t="inlineStr">
        <is>
          <t>Grande</t>
        </is>
      </c>
      <c r="D12" s="6">
        <f>IFERROR(INDEX(Comparativo!D:D,MATCH(1,(Comparativo!$B:$B=$B12)*(Comparativo!$C:$C=$C12),0)),"")</f>
        <v/>
      </c>
      <c r="E12" s="6">
        <f>IFERROR(INDEX(Comparativo!E:E,MATCH(1,(Comparativo!$B:$B=$B12)*(Comparativo!$C:$C=$C12),0)),"")</f>
        <v/>
      </c>
      <c r="F12" s="6">
        <f>IFERROR(INDEX(Comparativo!F:F,MATCH(1,(Comparativo!$B:$B=$B12)*(Comparativo!$C:$C=$C12),0)),"")</f>
        <v/>
      </c>
      <c r="G12" s="6">
        <f>IFERROR(D12*$C$3,"")</f>
        <v/>
      </c>
      <c r="H12" s="6">
        <f>IFERROR(E12*$C$4,"")</f>
        <v/>
      </c>
      <c r="I12" s="6">
        <f>IFERROR(F12*$C$5,"")</f>
        <v/>
      </c>
    </row>
    <row r="13">
      <c r="A13" t="inlineStr">
        <is>
          <t>Cabe no seu bolso!!!</t>
        </is>
      </c>
      <c r="B13" t="inlineStr">
        <is>
          <t>Pizza Atum</t>
        </is>
      </c>
      <c r="C13" t="inlineStr">
        <is>
          <t>Brotinho</t>
        </is>
      </c>
      <c r="D13" s="6">
        <f>IFERROR(INDEX(Comparativo!D:D,MATCH(1,(Comparativo!$B:$B=$B13)*(Comparativo!$C:$C=$C13),0)),"")</f>
        <v/>
      </c>
      <c r="E13" s="6">
        <f>IFERROR(INDEX(Comparativo!E:E,MATCH(1,(Comparativo!$B:$B=$B13)*(Comparativo!$C:$C=$C13),0)),"")</f>
        <v/>
      </c>
      <c r="F13" s="6">
        <f>IFERROR(INDEX(Comparativo!F:F,MATCH(1,(Comparativo!$B:$B=$B13)*(Comparativo!$C:$C=$C13),0)),"")</f>
        <v/>
      </c>
      <c r="G13" s="6">
        <f>IFERROR(D13*$C$3,"")</f>
        <v/>
      </c>
      <c r="H13" s="6">
        <f>IFERROR(E13*$C$4,"")</f>
        <v/>
      </c>
      <c r="I13" s="6">
        <f>IFERROR(F13*$C$5,"")</f>
        <v/>
      </c>
    </row>
    <row r="14">
      <c r="A14" t="inlineStr">
        <is>
          <t>Cabe no seu bolso!!!</t>
        </is>
      </c>
      <c r="B14" t="inlineStr">
        <is>
          <t>Pizza Atum</t>
        </is>
      </c>
      <c r="C14" t="inlineStr">
        <is>
          <t>Grande</t>
        </is>
      </c>
      <c r="D14" s="6">
        <f>IFERROR(INDEX(Comparativo!D:D,MATCH(1,(Comparativo!$B:$B=$B14)*(Comparativo!$C:$C=$C14),0)),"")</f>
        <v/>
      </c>
      <c r="E14" s="6">
        <f>IFERROR(INDEX(Comparativo!E:E,MATCH(1,(Comparativo!$B:$B=$B14)*(Comparativo!$C:$C=$C14),0)),"")</f>
        <v/>
      </c>
      <c r="F14" s="6">
        <f>IFERROR(INDEX(Comparativo!F:F,MATCH(1,(Comparativo!$B:$B=$B14)*(Comparativo!$C:$C=$C14),0)),"")</f>
        <v/>
      </c>
      <c r="G14" s="6">
        <f>IFERROR(D14*$C$3,"")</f>
        <v/>
      </c>
      <c r="H14" s="6">
        <f>IFERROR(E14*$C$4,"")</f>
        <v/>
      </c>
      <c r="I14" s="6">
        <f>IFERROR(F14*$C$5,"")</f>
        <v/>
      </c>
    </row>
    <row r="15">
      <c r="A15" t="inlineStr">
        <is>
          <t>Cabe no seu bolso!!!</t>
        </is>
      </c>
      <c r="B15" t="inlineStr">
        <is>
          <t>Pizza Lombo</t>
        </is>
      </c>
      <c r="C15" t="inlineStr">
        <is>
          <t>Brotinho</t>
        </is>
      </c>
      <c r="D15" s="6">
        <f>IFERROR(INDEX(Comparativo!D:D,MATCH(1,(Comparativo!$B:$B=$B15)*(Comparativo!$C:$C=$C15),0)),"")</f>
        <v/>
      </c>
      <c r="E15" s="6">
        <f>IFERROR(INDEX(Comparativo!E:E,MATCH(1,(Comparativo!$B:$B=$B15)*(Comparativo!$C:$C=$C15),0)),"")</f>
        <v/>
      </c>
      <c r="F15" s="6">
        <f>IFERROR(INDEX(Comparativo!F:F,MATCH(1,(Comparativo!$B:$B=$B15)*(Comparativo!$C:$C=$C15),0)),"")</f>
        <v/>
      </c>
      <c r="G15" s="6">
        <f>IFERROR(D15*$C$3,"")</f>
        <v/>
      </c>
      <c r="H15" s="6">
        <f>IFERROR(E15*$C$4,"")</f>
        <v/>
      </c>
      <c r="I15" s="6">
        <f>IFERROR(F15*$C$5,"")</f>
        <v/>
      </c>
    </row>
    <row r="16">
      <c r="A16" t="inlineStr">
        <is>
          <t>Cabe no seu bolso!!!</t>
        </is>
      </c>
      <c r="B16" t="inlineStr">
        <is>
          <t>Pizza Lombo</t>
        </is>
      </c>
      <c r="C16" t="inlineStr">
        <is>
          <t>Grande</t>
        </is>
      </c>
      <c r="D16" s="6">
        <f>IFERROR(INDEX(Comparativo!D:D,MATCH(1,(Comparativo!$B:$B=$B16)*(Comparativo!$C:$C=$C16),0)),"")</f>
        <v/>
      </c>
      <c r="E16" s="6">
        <f>IFERROR(INDEX(Comparativo!E:E,MATCH(1,(Comparativo!$B:$B=$B16)*(Comparativo!$C:$C=$C16),0)),"")</f>
        <v/>
      </c>
      <c r="F16" s="6">
        <f>IFERROR(INDEX(Comparativo!F:F,MATCH(1,(Comparativo!$B:$B=$B16)*(Comparativo!$C:$C=$C16),0)),"")</f>
        <v/>
      </c>
      <c r="G16" s="6">
        <f>IFERROR(D16*$C$3,"")</f>
        <v/>
      </c>
      <c r="H16" s="6">
        <f>IFERROR(E16*$C$4,"")</f>
        <v/>
      </c>
      <c r="I16" s="6">
        <f>IFERROR(F16*$C$5,"")</f>
        <v/>
      </c>
    </row>
    <row r="17">
      <c r="A17" t="inlineStr">
        <is>
          <t>Cabe no seu bolso!!!</t>
        </is>
      </c>
      <c r="B17" t="inlineStr">
        <is>
          <t>Pizza Mussarela</t>
        </is>
      </c>
      <c r="C17" t="inlineStr">
        <is>
          <t>Brotinho</t>
        </is>
      </c>
      <c r="D17" s="6">
        <f>IFERROR(INDEX(Comparativo!D:D,MATCH(1,(Comparativo!$B:$B=$B17)*(Comparativo!$C:$C=$C17),0)),"")</f>
        <v/>
      </c>
      <c r="E17" s="6">
        <f>IFERROR(INDEX(Comparativo!E:E,MATCH(1,(Comparativo!$B:$B=$B17)*(Comparativo!$C:$C=$C17),0)),"")</f>
        <v/>
      </c>
      <c r="F17" s="6">
        <f>IFERROR(INDEX(Comparativo!F:F,MATCH(1,(Comparativo!$B:$B=$B17)*(Comparativo!$C:$C=$C17),0)),"")</f>
        <v/>
      </c>
      <c r="G17" s="6">
        <f>IFERROR(D17*$C$3,"")</f>
        <v/>
      </c>
      <c r="H17" s="6">
        <f>IFERROR(E17*$C$4,"")</f>
        <v/>
      </c>
      <c r="I17" s="6">
        <f>IFERROR(F17*$C$5,"")</f>
        <v/>
      </c>
    </row>
    <row r="18">
      <c r="A18" t="inlineStr">
        <is>
          <t>Cabe no seu bolso!!!</t>
        </is>
      </c>
      <c r="B18" t="inlineStr">
        <is>
          <t>Pizza Mussarela</t>
        </is>
      </c>
      <c r="C18" t="inlineStr">
        <is>
          <t>Grande</t>
        </is>
      </c>
      <c r="D18" s="6">
        <f>IFERROR(INDEX(Comparativo!D:D,MATCH(1,(Comparativo!$B:$B=$B18)*(Comparativo!$C:$C=$C18),0)),"")</f>
        <v/>
      </c>
      <c r="E18" s="6">
        <f>IFERROR(INDEX(Comparativo!E:E,MATCH(1,(Comparativo!$B:$B=$B18)*(Comparativo!$C:$C=$C18),0)),"")</f>
        <v/>
      </c>
      <c r="F18" s="6">
        <f>IFERROR(INDEX(Comparativo!F:F,MATCH(1,(Comparativo!$B:$B=$B18)*(Comparativo!$C:$C=$C18),0)),"")</f>
        <v/>
      </c>
      <c r="G18" s="6">
        <f>IFERROR(D18*$C$3,"")</f>
        <v/>
      </c>
      <c r="H18" s="6">
        <f>IFERROR(E18*$C$4,"")</f>
        <v/>
      </c>
      <c r="I18" s="6">
        <f>IFERROR(F18*$C$5,"")</f>
        <v/>
      </c>
    </row>
    <row r="19">
      <c r="A19" t="inlineStr">
        <is>
          <t>Imperdíveis Pizzas salgadas</t>
        </is>
      </c>
      <c r="B19" t="inlineStr">
        <is>
          <t>Pizza Vegetariana</t>
        </is>
      </c>
      <c r="C19" t="inlineStr">
        <is>
          <t>Brotinho</t>
        </is>
      </c>
      <c r="D19" s="6">
        <f>IFERROR(INDEX(Comparativo!D:D,MATCH(1,(Comparativo!$B:$B=$B19)*(Comparativo!$C:$C=$C19),0)),"")</f>
        <v/>
      </c>
      <c r="E19" s="6">
        <f>IFERROR(INDEX(Comparativo!E:E,MATCH(1,(Comparativo!$B:$B=$B19)*(Comparativo!$C:$C=$C19),0)),"")</f>
        <v/>
      </c>
      <c r="F19" s="6">
        <f>IFERROR(INDEX(Comparativo!F:F,MATCH(1,(Comparativo!$B:$B=$B19)*(Comparativo!$C:$C=$C19),0)),"")</f>
        <v/>
      </c>
      <c r="G19" s="6">
        <f>IFERROR(D19*$C$3,"")</f>
        <v/>
      </c>
      <c r="H19" s="6">
        <f>IFERROR(E19*$C$4,"")</f>
        <v/>
      </c>
      <c r="I19" s="6">
        <f>IFERROR(F19*$C$5,"")</f>
        <v/>
      </c>
    </row>
    <row r="20">
      <c r="A20" t="inlineStr">
        <is>
          <t>Imperdíveis Pizzas salgadas</t>
        </is>
      </c>
      <c r="B20" t="inlineStr">
        <is>
          <t>Pizza Vegetariana</t>
        </is>
      </c>
      <c r="C20" t="inlineStr">
        <is>
          <t>Grande</t>
        </is>
      </c>
      <c r="D20" s="6">
        <f>IFERROR(INDEX(Comparativo!D:D,MATCH(1,(Comparativo!$B:$B=$B20)*(Comparativo!$C:$C=$C20),0)),"")</f>
        <v/>
      </c>
      <c r="E20" s="6">
        <f>IFERROR(INDEX(Comparativo!E:E,MATCH(1,(Comparativo!$B:$B=$B20)*(Comparativo!$C:$C=$C20),0)),"")</f>
        <v/>
      </c>
      <c r="F20" s="6">
        <f>IFERROR(INDEX(Comparativo!F:F,MATCH(1,(Comparativo!$B:$B=$B20)*(Comparativo!$C:$C=$C20),0)),"")</f>
        <v/>
      </c>
      <c r="G20" s="6">
        <f>IFERROR(D20*$C$3,"")</f>
        <v/>
      </c>
      <c r="H20" s="6">
        <f>IFERROR(E20*$C$4,"")</f>
        <v/>
      </c>
      <c r="I20" s="6">
        <f>IFERROR(F20*$C$5,"")</f>
        <v/>
      </c>
    </row>
    <row r="21">
      <c r="A21" t="inlineStr">
        <is>
          <t>Imperdíveis Pizzas salgadas</t>
        </is>
      </c>
      <c r="B21" t="inlineStr">
        <is>
          <t>Pizza Toscana</t>
        </is>
      </c>
      <c r="C21" t="inlineStr">
        <is>
          <t>Brotinho</t>
        </is>
      </c>
      <c r="D21" s="6">
        <f>IFERROR(INDEX(Comparativo!D:D,MATCH(1,(Comparativo!$B:$B=$B21)*(Comparativo!$C:$C=$C21),0)),"")</f>
        <v/>
      </c>
      <c r="E21" s="6">
        <f>IFERROR(INDEX(Comparativo!E:E,MATCH(1,(Comparativo!$B:$B=$B21)*(Comparativo!$C:$C=$C21),0)),"")</f>
        <v/>
      </c>
      <c r="F21" s="6">
        <f>IFERROR(INDEX(Comparativo!F:F,MATCH(1,(Comparativo!$B:$B=$B21)*(Comparativo!$C:$C=$C21),0)),"")</f>
        <v/>
      </c>
      <c r="G21" s="6">
        <f>IFERROR(D21*$C$3,"")</f>
        <v/>
      </c>
      <c r="H21" s="6">
        <f>IFERROR(E21*$C$4,"")</f>
        <v/>
      </c>
      <c r="I21" s="6">
        <f>IFERROR(F21*$C$5,"")</f>
        <v/>
      </c>
    </row>
    <row r="22">
      <c r="A22" t="inlineStr">
        <is>
          <t>Imperdíveis Pizzas salgadas</t>
        </is>
      </c>
      <c r="B22" t="inlineStr">
        <is>
          <t>Pizza Toscana</t>
        </is>
      </c>
      <c r="C22" t="inlineStr">
        <is>
          <t>Grande</t>
        </is>
      </c>
      <c r="D22" s="6">
        <f>IFERROR(INDEX(Comparativo!D:D,MATCH(1,(Comparativo!$B:$B=$B22)*(Comparativo!$C:$C=$C22),0)),"")</f>
        <v/>
      </c>
      <c r="E22" s="6">
        <f>IFERROR(INDEX(Comparativo!E:E,MATCH(1,(Comparativo!$B:$B=$B22)*(Comparativo!$C:$C=$C22),0)),"")</f>
        <v/>
      </c>
      <c r="F22" s="6">
        <f>IFERROR(INDEX(Comparativo!F:F,MATCH(1,(Comparativo!$B:$B=$B22)*(Comparativo!$C:$C=$C22),0)),"")</f>
        <v/>
      </c>
      <c r="G22" s="6">
        <f>IFERROR(D22*$C$3,"")</f>
        <v/>
      </c>
      <c r="H22" s="6">
        <f>IFERROR(E22*$C$4,"")</f>
        <v/>
      </c>
      <c r="I22" s="6">
        <f>IFERROR(F22*$C$5,"")</f>
        <v/>
      </c>
    </row>
    <row r="23">
      <c r="A23" t="inlineStr">
        <is>
          <t>Imperdíveis Pizzas salgadas</t>
        </is>
      </c>
      <c r="B23" t="inlineStr">
        <is>
          <t>Pizza Tomate Seco</t>
        </is>
      </c>
      <c r="C23" t="inlineStr">
        <is>
          <t>Brotinho</t>
        </is>
      </c>
      <c r="D23" s="6">
        <f>IFERROR(INDEX(Comparativo!D:D,MATCH(1,(Comparativo!$B:$B=$B23)*(Comparativo!$C:$C=$C23),0)),"")</f>
        <v/>
      </c>
      <c r="E23" s="6">
        <f>IFERROR(INDEX(Comparativo!E:E,MATCH(1,(Comparativo!$B:$B=$B23)*(Comparativo!$C:$C=$C23),0)),"")</f>
        <v/>
      </c>
      <c r="F23" s="6">
        <f>IFERROR(INDEX(Comparativo!F:F,MATCH(1,(Comparativo!$B:$B=$B23)*(Comparativo!$C:$C=$C23),0)),"")</f>
        <v/>
      </c>
      <c r="G23" s="6">
        <f>IFERROR(D23*$C$3,"")</f>
        <v/>
      </c>
      <c r="H23" s="6">
        <f>IFERROR(E23*$C$4,"")</f>
        <v/>
      </c>
      <c r="I23" s="6">
        <f>IFERROR(F23*$C$5,"")</f>
        <v/>
      </c>
    </row>
    <row r="24">
      <c r="A24" t="inlineStr">
        <is>
          <t>Imperdíveis Pizzas salgadas</t>
        </is>
      </c>
      <c r="B24" t="inlineStr">
        <is>
          <t>Pizza Tomate Seco</t>
        </is>
      </c>
      <c r="C24" t="inlineStr">
        <is>
          <t>Grande</t>
        </is>
      </c>
      <c r="D24" s="6">
        <f>IFERROR(INDEX(Comparativo!D:D,MATCH(1,(Comparativo!$B:$B=$B24)*(Comparativo!$C:$C=$C24),0)),"")</f>
        <v/>
      </c>
      <c r="E24" s="6">
        <f>IFERROR(INDEX(Comparativo!E:E,MATCH(1,(Comparativo!$B:$B=$B24)*(Comparativo!$C:$C=$C24),0)),"")</f>
        <v/>
      </c>
      <c r="F24" s="6">
        <f>IFERROR(INDEX(Comparativo!F:F,MATCH(1,(Comparativo!$B:$B=$B24)*(Comparativo!$C:$C=$C24),0)),"")</f>
        <v/>
      </c>
      <c r="G24" s="6">
        <f>IFERROR(D24*$C$3,"")</f>
        <v/>
      </c>
      <c r="H24" s="6">
        <f>IFERROR(E24*$C$4,"")</f>
        <v/>
      </c>
      <c r="I24" s="6">
        <f>IFERROR(F24*$C$5,"")</f>
        <v/>
      </c>
    </row>
    <row r="25">
      <c r="A25" t="inlineStr">
        <is>
          <t>Imperdíveis Pizzas salgadas</t>
        </is>
      </c>
      <c r="B25" t="inlineStr">
        <is>
          <t>Pizza Strogonoff</t>
        </is>
      </c>
      <c r="C25" t="inlineStr">
        <is>
          <t>Brotinho</t>
        </is>
      </c>
      <c r="D25" s="6">
        <f>IFERROR(INDEX(Comparativo!D:D,MATCH(1,(Comparativo!$B:$B=$B25)*(Comparativo!$C:$C=$C25),0)),"")</f>
        <v/>
      </c>
      <c r="E25" s="6">
        <f>IFERROR(INDEX(Comparativo!E:E,MATCH(1,(Comparativo!$B:$B=$B25)*(Comparativo!$C:$C=$C25),0)),"")</f>
        <v/>
      </c>
      <c r="F25" s="6">
        <f>IFERROR(INDEX(Comparativo!F:F,MATCH(1,(Comparativo!$B:$B=$B25)*(Comparativo!$C:$C=$C25),0)),"")</f>
        <v/>
      </c>
      <c r="G25" s="6">
        <f>IFERROR(D25*$C$3,"")</f>
        <v/>
      </c>
      <c r="H25" s="6">
        <f>IFERROR(E25*$C$4,"")</f>
        <v/>
      </c>
      <c r="I25" s="6">
        <f>IFERROR(F25*$C$5,"")</f>
        <v/>
      </c>
    </row>
    <row r="26">
      <c r="A26" t="inlineStr">
        <is>
          <t>Imperdíveis Pizzas salgadas</t>
        </is>
      </c>
      <c r="B26" t="inlineStr">
        <is>
          <t>Pizza Strogonoff</t>
        </is>
      </c>
      <c r="C26" t="inlineStr">
        <is>
          <t>Grande</t>
        </is>
      </c>
      <c r="D26" s="6">
        <f>IFERROR(INDEX(Comparativo!D:D,MATCH(1,(Comparativo!$B:$B=$B26)*(Comparativo!$C:$C=$C26),0)),"")</f>
        <v/>
      </c>
      <c r="E26" s="6">
        <f>IFERROR(INDEX(Comparativo!E:E,MATCH(1,(Comparativo!$B:$B=$B26)*(Comparativo!$C:$C=$C26),0)),"")</f>
        <v/>
      </c>
      <c r="F26" s="6">
        <f>IFERROR(INDEX(Comparativo!F:F,MATCH(1,(Comparativo!$B:$B=$B26)*(Comparativo!$C:$C=$C26),0)),"")</f>
        <v/>
      </c>
      <c r="G26" s="6">
        <f>IFERROR(D26*$C$3,"")</f>
        <v/>
      </c>
      <c r="H26" s="6">
        <f>IFERROR(E26*$C$4,"")</f>
        <v/>
      </c>
      <c r="I26" s="6">
        <f>IFERROR(F26*$C$5,"")</f>
        <v/>
      </c>
    </row>
    <row r="27">
      <c r="A27" t="inlineStr">
        <is>
          <t>Imperdíveis Pizzas salgadas</t>
        </is>
      </c>
      <c r="B27" t="inlineStr">
        <is>
          <t>Pizza Siciliana</t>
        </is>
      </c>
      <c r="C27" t="inlineStr">
        <is>
          <t>Brotinho</t>
        </is>
      </c>
      <c r="D27" s="6">
        <f>IFERROR(INDEX(Comparativo!D:D,MATCH(1,(Comparativo!$B:$B=$B27)*(Comparativo!$C:$C=$C27),0)),"")</f>
        <v/>
      </c>
      <c r="E27" s="6">
        <f>IFERROR(INDEX(Comparativo!E:E,MATCH(1,(Comparativo!$B:$B=$B27)*(Comparativo!$C:$C=$C27),0)),"")</f>
        <v/>
      </c>
      <c r="F27" s="6">
        <f>IFERROR(INDEX(Comparativo!F:F,MATCH(1,(Comparativo!$B:$B=$B27)*(Comparativo!$C:$C=$C27),0)),"")</f>
        <v/>
      </c>
      <c r="G27" s="6">
        <f>IFERROR(D27*$C$3,"")</f>
        <v/>
      </c>
      <c r="H27" s="6">
        <f>IFERROR(E27*$C$4,"")</f>
        <v/>
      </c>
      <c r="I27" s="6">
        <f>IFERROR(F27*$C$5,"")</f>
        <v/>
      </c>
    </row>
    <row r="28">
      <c r="A28" t="inlineStr">
        <is>
          <t>Imperdíveis Pizzas salgadas</t>
        </is>
      </c>
      <c r="B28" t="inlineStr">
        <is>
          <t>Pizza Siciliana</t>
        </is>
      </c>
      <c r="C28" t="inlineStr">
        <is>
          <t>Grande</t>
        </is>
      </c>
      <c r="D28" s="6">
        <f>IFERROR(INDEX(Comparativo!D:D,MATCH(1,(Comparativo!$B:$B=$B28)*(Comparativo!$C:$C=$C28),0)),"")</f>
        <v/>
      </c>
      <c r="E28" s="6">
        <f>IFERROR(INDEX(Comparativo!E:E,MATCH(1,(Comparativo!$B:$B=$B28)*(Comparativo!$C:$C=$C28),0)),"")</f>
        <v/>
      </c>
      <c r="F28" s="6">
        <f>IFERROR(INDEX(Comparativo!F:F,MATCH(1,(Comparativo!$B:$B=$B28)*(Comparativo!$C:$C=$C28),0)),"")</f>
        <v/>
      </c>
      <c r="G28" s="6">
        <f>IFERROR(D28*$C$3,"")</f>
        <v/>
      </c>
      <c r="H28" s="6">
        <f>IFERROR(E28*$C$4,"")</f>
        <v/>
      </c>
      <c r="I28" s="6">
        <f>IFERROR(F28*$C$5,"")</f>
        <v/>
      </c>
    </row>
    <row r="29">
      <c r="A29" t="inlineStr">
        <is>
          <t>Imperdíveis Pizzas salgadas</t>
        </is>
      </c>
      <c r="B29" t="inlineStr">
        <is>
          <t>Pizza Rúcula</t>
        </is>
      </c>
      <c r="C29" t="inlineStr">
        <is>
          <t>Brotinho</t>
        </is>
      </c>
      <c r="D29" s="6">
        <f>IFERROR(INDEX(Comparativo!D:D,MATCH(1,(Comparativo!$B:$B=$B29)*(Comparativo!$C:$C=$C29),0)),"")</f>
        <v/>
      </c>
      <c r="E29" s="6">
        <f>IFERROR(INDEX(Comparativo!E:E,MATCH(1,(Comparativo!$B:$B=$B29)*(Comparativo!$C:$C=$C29),0)),"")</f>
        <v/>
      </c>
      <c r="F29" s="6">
        <f>IFERROR(INDEX(Comparativo!F:F,MATCH(1,(Comparativo!$B:$B=$B29)*(Comparativo!$C:$C=$C29),0)),"")</f>
        <v/>
      </c>
      <c r="G29" s="6">
        <f>IFERROR(D29*$C$3,"")</f>
        <v/>
      </c>
      <c r="H29" s="6">
        <f>IFERROR(E29*$C$4,"")</f>
        <v/>
      </c>
      <c r="I29" s="6">
        <f>IFERROR(F29*$C$5,"")</f>
        <v/>
      </c>
    </row>
    <row r="30">
      <c r="A30" t="inlineStr">
        <is>
          <t>Imperdíveis Pizzas salgadas</t>
        </is>
      </c>
      <c r="B30" t="inlineStr">
        <is>
          <t>Pizza Rúcula</t>
        </is>
      </c>
      <c r="C30" t="inlineStr">
        <is>
          <t>Grande</t>
        </is>
      </c>
      <c r="D30" s="6">
        <f>IFERROR(INDEX(Comparativo!D:D,MATCH(1,(Comparativo!$B:$B=$B30)*(Comparativo!$C:$C=$C30),0)),"")</f>
        <v/>
      </c>
      <c r="E30" s="6">
        <f>IFERROR(INDEX(Comparativo!E:E,MATCH(1,(Comparativo!$B:$B=$B30)*(Comparativo!$C:$C=$C30),0)),"")</f>
        <v/>
      </c>
      <c r="F30" s="6">
        <f>IFERROR(INDEX(Comparativo!F:F,MATCH(1,(Comparativo!$B:$B=$B30)*(Comparativo!$C:$C=$C30),0)),"")</f>
        <v/>
      </c>
      <c r="G30" s="6">
        <f>IFERROR(D30*$C$3,"")</f>
        <v/>
      </c>
      <c r="H30" s="6">
        <f>IFERROR(E30*$C$4,"")</f>
        <v/>
      </c>
      <c r="I30" s="6">
        <f>IFERROR(F30*$C$5,"")</f>
        <v/>
      </c>
    </row>
    <row r="31">
      <c r="A31" t="inlineStr">
        <is>
          <t>Imperdíveis Pizzas salgadas</t>
        </is>
      </c>
      <c r="B31" t="inlineStr">
        <is>
          <t>Pizza Romana</t>
        </is>
      </c>
      <c r="C31" t="inlineStr">
        <is>
          <t>Brotinho</t>
        </is>
      </c>
      <c r="D31" s="6">
        <f>IFERROR(INDEX(Comparativo!D:D,MATCH(1,(Comparativo!$B:$B=$B31)*(Comparativo!$C:$C=$C31),0)),"")</f>
        <v/>
      </c>
      <c r="E31" s="6">
        <f>IFERROR(INDEX(Comparativo!E:E,MATCH(1,(Comparativo!$B:$B=$B31)*(Comparativo!$C:$C=$C31),0)),"")</f>
        <v/>
      </c>
      <c r="F31" s="6">
        <f>IFERROR(INDEX(Comparativo!F:F,MATCH(1,(Comparativo!$B:$B=$B31)*(Comparativo!$C:$C=$C31),0)),"")</f>
        <v/>
      </c>
      <c r="G31" s="6">
        <f>IFERROR(D31*$C$3,"")</f>
        <v/>
      </c>
      <c r="H31" s="6">
        <f>IFERROR(E31*$C$4,"")</f>
        <v/>
      </c>
      <c r="I31" s="6">
        <f>IFERROR(F31*$C$5,"")</f>
        <v/>
      </c>
    </row>
    <row r="32">
      <c r="A32" t="inlineStr">
        <is>
          <t>Imperdíveis Pizzas salgadas</t>
        </is>
      </c>
      <c r="B32" t="inlineStr">
        <is>
          <t>Pizza Romana</t>
        </is>
      </c>
      <c r="C32" t="inlineStr">
        <is>
          <t>Grande</t>
        </is>
      </c>
      <c r="D32" s="6">
        <f>IFERROR(INDEX(Comparativo!D:D,MATCH(1,(Comparativo!$B:$B=$B32)*(Comparativo!$C:$C=$C32),0)),"")</f>
        <v/>
      </c>
      <c r="E32" s="6">
        <f>IFERROR(INDEX(Comparativo!E:E,MATCH(1,(Comparativo!$B:$B=$B32)*(Comparativo!$C:$C=$C32),0)),"")</f>
        <v/>
      </c>
      <c r="F32" s="6">
        <f>IFERROR(INDEX(Comparativo!F:F,MATCH(1,(Comparativo!$B:$B=$B32)*(Comparativo!$C:$C=$C32),0)),"")</f>
        <v/>
      </c>
      <c r="G32" s="6">
        <f>IFERROR(D32*$C$3,"")</f>
        <v/>
      </c>
      <c r="H32" s="6">
        <f>IFERROR(E32*$C$4,"")</f>
        <v/>
      </c>
      <c r="I32" s="6">
        <f>IFERROR(F32*$C$5,"")</f>
        <v/>
      </c>
    </row>
    <row r="33">
      <c r="A33" t="inlineStr">
        <is>
          <t>Imperdíveis Pizzas salgadas</t>
        </is>
      </c>
      <c r="B33" t="inlineStr">
        <is>
          <t>Pizza Primeira Classe</t>
        </is>
      </c>
      <c r="C33" t="inlineStr">
        <is>
          <t>Brotinho</t>
        </is>
      </c>
      <c r="D33" s="6">
        <f>IFERROR(INDEX(Comparativo!D:D,MATCH(1,(Comparativo!$B:$B=$B33)*(Comparativo!$C:$C=$C33),0)),"")</f>
        <v/>
      </c>
      <c r="E33" s="6">
        <f>IFERROR(INDEX(Comparativo!E:E,MATCH(1,(Comparativo!$B:$B=$B33)*(Comparativo!$C:$C=$C33),0)),"")</f>
        <v/>
      </c>
      <c r="F33" s="6">
        <f>IFERROR(INDEX(Comparativo!F:F,MATCH(1,(Comparativo!$B:$B=$B33)*(Comparativo!$C:$C=$C33),0)),"")</f>
        <v/>
      </c>
      <c r="G33" s="6">
        <f>IFERROR(D33*$C$3,"")</f>
        <v/>
      </c>
      <c r="H33" s="6">
        <f>IFERROR(E33*$C$4,"")</f>
        <v/>
      </c>
      <c r="I33" s="6">
        <f>IFERROR(F33*$C$5,"")</f>
        <v/>
      </c>
    </row>
    <row r="34">
      <c r="A34" t="inlineStr">
        <is>
          <t>Imperdíveis Pizzas salgadas</t>
        </is>
      </c>
      <c r="B34" t="inlineStr">
        <is>
          <t>Pizza Primeira Classe</t>
        </is>
      </c>
      <c r="C34" t="inlineStr">
        <is>
          <t>Grande</t>
        </is>
      </c>
      <c r="D34" s="6">
        <f>IFERROR(INDEX(Comparativo!D:D,MATCH(1,(Comparativo!$B:$B=$B34)*(Comparativo!$C:$C=$C34),0)),"")</f>
        <v/>
      </c>
      <c r="E34" s="6">
        <f>IFERROR(INDEX(Comparativo!E:E,MATCH(1,(Comparativo!$B:$B=$B34)*(Comparativo!$C:$C=$C34),0)),"")</f>
        <v/>
      </c>
      <c r="F34" s="6">
        <f>IFERROR(INDEX(Comparativo!F:F,MATCH(1,(Comparativo!$B:$B=$B34)*(Comparativo!$C:$C=$C34),0)),"")</f>
        <v/>
      </c>
      <c r="G34" s="6">
        <f>IFERROR(D34*$C$3,"")</f>
        <v/>
      </c>
      <c r="H34" s="6">
        <f>IFERROR(E34*$C$4,"")</f>
        <v/>
      </c>
      <c r="I34" s="6">
        <f>IFERROR(F34*$C$5,"")</f>
        <v/>
      </c>
    </row>
    <row r="35">
      <c r="A35" t="inlineStr">
        <is>
          <t>Imperdíveis Pizzas salgadas</t>
        </is>
      </c>
      <c r="B35" t="inlineStr">
        <is>
          <t>Pizza Portuguesa 2</t>
        </is>
      </c>
      <c r="C35" t="inlineStr">
        <is>
          <t>Brotinho</t>
        </is>
      </c>
      <c r="D35" s="6">
        <f>IFERROR(INDEX(Comparativo!D:D,MATCH(1,(Comparativo!$B:$B=$B35)*(Comparativo!$C:$C=$C35),0)),"")</f>
        <v/>
      </c>
      <c r="E35" s="6">
        <f>IFERROR(INDEX(Comparativo!E:E,MATCH(1,(Comparativo!$B:$B=$B35)*(Comparativo!$C:$C=$C35),0)),"")</f>
        <v/>
      </c>
      <c r="F35" s="6">
        <f>IFERROR(INDEX(Comparativo!F:F,MATCH(1,(Comparativo!$B:$B=$B35)*(Comparativo!$C:$C=$C35),0)),"")</f>
        <v/>
      </c>
      <c r="G35" s="6">
        <f>IFERROR(D35*$C$3,"")</f>
        <v/>
      </c>
      <c r="H35" s="6">
        <f>IFERROR(E35*$C$4,"")</f>
        <v/>
      </c>
      <c r="I35" s="6">
        <f>IFERROR(F35*$C$5,"")</f>
        <v/>
      </c>
    </row>
    <row r="36">
      <c r="A36" t="inlineStr">
        <is>
          <t>Imperdíveis Pizzas salgadas</t>
        </is>
      </c>
      <c r="B36" t="inlineStr">
        <is>
          <t>Pizza Portuguesa 2</t>
        </is>
      </c>
      <c r="C36" t="inlineStr">
        <is>
          <t>Grande</t>
        </is>
      </c>
      <c r="D36" s="6">
        <f>IFERROR(INDEX(Comparativo!D:D,MATCH(1,(Comparativo!$B:$B=$B36)*(Comparativo!$C:$C=$C36),0)),"")</f>
        <v/>
      </c>
      <c r="E36" s="6">
        <f>IFERROR(INDEX(Comparativo!E:E,MATCH(1,(Comparativo!$B:$B=$B36)*(Comparativo!$C:$C=$C36),0)),"")</f>
        <v/>
      </c>
      <c r="F36" s="6">
        <f>IFERROR(INDEX(Comparativo!F:F,MATCH(1,(Comparativo!$B:$B=$B36)*(Comparativo!$C:$C=$C36),0)),"")</f>
        <v/>
      </c>
      <c r="G36" s="6">
        <f>IFERROR(D36*$C$3,"")</f>
        <v/>
      </c>
      <c r="H36" s="6">
        <f>IFERROR(E36*$C$4,"")</f>
        <v/>
      </c>
      <c r="I36" s="6">
        <f>IFERROR(F36*$C$5,"")</f>
        <v/>
      </c>
    </row>
    <row r="37">
      <c r="A37" t="inlineStr">
        <is>
          <t>Imperdíveis Pizzas salgadas</t>
        </is>
      </c>
      <c r="B37" t="inlineStr">
        <is>
          <t>Pizza Portuguesa</t>
        </is>
      </c>
      <c r="C37" t="inlineStr">
        <is>
          <t>Brotinho</t>
        </is>
      </c>
      <c r="D37" s="6">
        <f>IFERROR(INDEX(Comparativo!D:D,MATCH(1,(Comparativo!$B:$B=$B37)*(Comparativo!$C:$C=$C37),0)),"")</f>
        <v/>
      </c>
      <c r="E37" s="6">
        <f>IFERROR(INDEX(Comparativo!E:E,MATCH(1,(Comparativo!$B:$B=$B37)*(Comparativo!$C:$C=$C37),0)),"")</f>
        <v/>
      </c>
      <c r="F37" s="6">
        <f>IFERROR(INDEX(Comparativo!F:F,MATCH(1,(Comparativo!$B:$B=$B37)*(Comparativo!$C:$C=$C37),0)),"")</f>
        <v/>
      </c>
      <c r="G37" s="6">
        <f>IFERROR(D37*$C$3,"")</f>
        <v/>
      </c>
      <c r="H37" s="6">
        <f>IFERROR(E37*$C$4,"")</f>
        <v/>
      </c>
      <c r="I37" s="6">
        <f>IFERROR(F37*$C$5,"")</f>
        <v/>
      </c>
    </row>
    <row r="38">
      <c r="A38" t="inlineStr">
        <is>
          <t>Imperdíveis Pizzas salgadas</t>
        </is>
      </c>
      <c r="B38" t="inlineStr">
        <is>
          <t>Pizza Portuguesa</t>
        </is>
      </c>
      <c r="C38" t="inlineStr">
        <is>
          <t>Grande</t>
        </is>
      </c>
      <c r="D38" s="6">
        <f>IFERROR(INDEX(Comparativo!D:D,MATCH(1,(Comparativo!$B:$B=$B38)*(Comparativo!$C:$C=$C38),0)),"")</f>
        <v/>
      </c>
      <c r="E38" s="6">
        <f>IFERROR(INDEX(Comparativo!E:E,MATCH(1,(Comparativo!$B:$B=$B38)*(Comparativo!$C:$C=$C38),0)),"")</f>
        <v/>
      </c>
      <c r="F38" s="6">
        <f>IFERROR(INDEX(Comparativo!F:F,MATCH(1,(Comparativo!$B:$B=$B38)*(Comparativo!$C:$C=$C38),0)),"")</f>
        <v/>
      </c>
      <c r="G38" s="6">
        <f>IFERROR(D38*$C$3,"")</f>
        <v/>
      </c>
      <c r="H38" s="6">
        <f>IFERROR(E38*$C$4,"")</f>
        <v/>
      </c>
      <c r="I38" s="6">
        <f>IFERROR(F38*$C$5,"")</f>
        <v/>
      </c>
    </row>
    <row r="39">
      <c r="A39" t="inlineStr">
        <is>
          <t>Imperdíveis Pizzas salgadas</t>
        </is>
      </c>
      <c r="B39" t="inlineStr">
        <is>
          <t>Pizza Peruana</t>
        </is>
      </c>
      <c r="C39" t="inlineStr">
        <is>
          <t>Brotinho</t>
        </is>
      </c>
      <c r="D39" s="6">
        <f>IFERROR(INDEX(Comparativo!D:D,MATCH(1,(Comparativo!$B:$B=$B39)*(Comparativo!$C:$C=$C39),0)),"")</f>
        <v/>
      </c>
      <c r="E39" s="6">
        <f>IFERROR(INDEX(Comparativo!E:E,MATCH(1,(Comparativo!$B:$B=$B39)*(Comparativo!$C:$C=$C39),0)),"")</f>
        <v/>
      </c>
      <c r="F39" s="6">
        <f>IFERROR(INDEX(Comparativo!F:F,MATCH(1,(Comparativo!$B:$B=$B39)*(Comparativo!$C:$C=$C39),0)),"")</f>
        <v/>
      </c>
      <c r="G39" s="6">
        <f>IFERROR(D39*$C$3,"")</f>
        <v/>
      </c>
      <c r="H39" s="6">
        <f>IFERROR(E39*$C$4,"")</f>
        <v/>
      </c>
      <c r="I39" s="6">
        <f>IFERROR(F39*$C$5,"")</f>
        <v/>
      </c>
    </row>
    <row r="40">
      <c r="A40" t="inlineStr">
        <is>
          <t>Imperdíveis Pizzas salgadas</t>
        </is>
      </c>
      <c r="B40" t="inlineStr">
        <is>
          <t>Pizza Peruana</t>
        </is>
      </c>
      <c r="C40" t="inlineStr">
        <is>
          <t>Grande</t>
        </is>
      </c>
      <c r="D40" s="6">
        <f>IFERROR(INDEX(Comparativo!D:D,MATCH(1,(Comparativo!$B:$B=$B40)*(Comparativo!$C:$C=$C40),0)),"")</f>
        <v/>
      </c>
      <c r="E40" s="6">
        <f>IFERROR(INDEX(Comparativo!E:E,MATCH(1,(Comparativo!$B:$B=$B40)*(Comparativo!$C:$C=$C40),0)),"")</f>
        <v/>
      </c>
      <c r="F40" s="6">
        <f>IFERROR(INDEX(Comparativo!F:F,MATCH(1,(Comparativo!$B:$B=$B40)*(Comparativo!$C:$C=$C40),0)),"")</f>
        <v/>
      </c>
      <c r="G40" s="6">
        <f>IFERROR(D40*$C$3,"")</f>
        <v/>
      </c>
      <c r="H40" s="6">
        <f>IFERROR(E40*$C$4,"")</f>
        <v/>
      </c>
      <c r="I40" s="6">
        <f>IFERROR(F40*$C$5,"")</f>
        <v/>
      </c>
    </row>
    <row r="41">
      <c r="A41" t="inlineStr">
        <is>
          <t>Imperdíveis Pizzas salgadas</t>
        </is>
      </c>
      <c r="B41" t="inlineStr">
        <is>
          <t>Pizza Pepperoni</t>
        </is>
      </c>
      <c r="C41" t="inlineStr">
        <is>
          <t>Brotinho</t>
        </is>
      </c>
      <c r="D41" s="6">
        <f>IFERROR(INDEX(Comparativo!D:D,MATCH(1,(Comparativo!$B:$B=$B41)*(Comparativo!$C:$C=$C41),0)),"")</f>
        <v/>
      </c>
      <c r="E41" s="6">
        <f>IFERROR(INDEX(Comparativo!E:E,MATCH(1,(Comparativo!$B:$B=$B41)*(Comparativo!$C:$C=$C41),0)),"")</f>
        <v/>
      </c>
      <c r="F41" s="6">
        <f>IFERROR(INDEX(Comparativo!F:F,MATCH(1,(Comparativo!$B:$B=$B41)*(Comparativo!$C:$C=$C41),0)),"")</f>
        <v/>
      </c>
      <c r="G41" s="6">
        <f>IFERROR(D41*$C$3,"")</f>
        <v/>
      </c>
      <c r="H41" s="6">
        <f>IFERROR(E41*$C$4,"")</f>
        <v/>
      </c>
      <c r="I41" s="6">
        <f>IFERROR(F41*$C$5,"")</f>
        <v/>
      </c>
    </row>
    <row r="42">
      <c r="A42" t="inlineStr">
        <is>
          <t>Imperdíveis Pizzas salgadas</t>
        </is>
      </c>
      <c r="B42" t="inlineStr">
        <is>
          <t>Pizza Pepperoni</t>
        </is>
      </c>
      <c r="C42" t="inlineStr">
        <is>
          <t>Grande</t>
        </is>
      </c>
      <c r="D42" s="6">
        <f>IFERROR(INDEX(Comparativo!D:D,MATCH(1,(Comparativo!$B:$B=$B42)*(Comparativo!$C:$C=$C42),0)),"")</f>
        <v/>
      </c>
      <c r="E42" s="6">
        <f>IFERROR(INDEX(Comparativo!E:E,MATCH(1,(Comparativo!$B:$B=$B42)*(Comparativo!$C:$C=$C42),0)),"")</f>
        <v/>
      </c>
      <c r="F42" s="6">
        <f>IFERROR(INDEX(Comparativo!F:F,MATCH(1,(Comparativo!$B:$B=$B42)*(Comparativo!$C:$C=$C42),0)),"")</f>
        <v/>
      </c>
      <c r="G42" s="6">
        <f>IFERROR(D42*$C$3,"")</f>
        <v/>
      </c>
      <c r="H42" s="6">
        <f>IFERROR(E42*$C$4,"")</f>
        <v/>
      </c>
      <c r="I42" s="6">
        <f>IFERROR(F42*$C$5,"")</f>
        <v/>
      </c>
    </row>
    <row r="43">
      <c r="A43" t="inlineStr">
        <is>
          <t>Imperdíveis Pizzas salgadas</t>
        </is>
      </c>
      <c r="B43" t="inlineStr">
        <is>
          <t>Pizza Palmito</t>
        </is>
      </c>
      <c r="C43" t="inlineStr">
        <is>
          <t>Brotinho</t>
        </is>
      </c>
      <c r="D43" s="6">
        <f>IFERROR(INDEX(Comparativo!D:D,MATCH(1,(Comparativo!$B:$B=$B43)*(Comparativo!$C:$C=$C43),0)),"")</f>
        <v/>
      </c>
      <c r="E43" s="6">
        <f>IFERROR(INDEX(Comparativo!E:E,MATCH(1,(Comparativo!$B:$B=$B43)*(Comparativo!$C:$C=$C43),0)),"")</f>
        <v/>
      </c>
      <c r="F43" s="6">
        <f>IFERROR(INDEX(Comparativo!F:F,MATCH(1,(Comparativo!$B:$B=$B43)*(Comparativo!$C:$C=$C43),0)),"")</f>
        <v/>
      </c>
      <c r="G43" s="6">
        <f>IFERROR(D43*$C$3,"")</f>
        <v/>
      </c>
      <c r="H43" s="6">
        <f>IFERROR(E43*$C$4,"")</f>
        <v/>
      </c>
      <c r="I43" s="6">
        <f>IFERROR(F43*$C$5,"")</f>
        <v/>
      </c>
    </row>
    <row r="44">
      <c r="A44" t="inlineStr">
        <is>
          <t>Imperdíveis Pizzas salgadas</t>
        </is>
      </c>
      <c r="B44" t="inlineStr">
        <is>
          <t>Pizza Palmito</t>
        </is>
      </c>
      <c r="C44" t="inlineStr">
        <is>
          <t>Grande</t>
        </is>
      </c>
      <c r="D44" s="6">
        <f>IFERROR(INDEX(Comparativo!D:D,MATCH(1,(Comparativo!$B:$B=$B44)*(Comparativo!$C:$C=$C44),0)),"")</f>
        <v/>
      </c>
      <c r="E44" s="6">
        <f>IFERROR(INDEX(Comparativo!E:E,MATCH(1,(Comparativo!$B:$B=$B44)*(Comparativo!$C:$C=$C44),0)),"")</f>
        <v/>
      </c>
      <c r="F44" s="6">
        <f>IFERROR(INDEX(Comparativo!F:F,MATCH(1,(Comparativo!$B:$B=$B44)*(Comparativo!$C:$C=$C44),0)),"")</f>
        <v/>
      </c>
      <c r="G44" s="6">
        <f>IFERROR(D44*$C$3,"")</f>
        <v/>
      </c>
      <c r="H44" s="6">
        <f>IFERROR(E44*$C$4,"")</f>
        <v/>
      </c>
      <c r="I44" s="6">
        <f>IFERROR(F44*$C$5,"")</f>
        <v/>
      </c>
    </row>
    <row r="45">
      <c r="A45" t="inlineStr">
        <is>
          <t>Imperdíveis Pizzas salgadas</t>
        </is>
      </c>
      <c r="B45" t="inlineStr">
        <is>
          <t>Pizza Napolitana</t>
        </is>
      </c>
      <c r="C45" t="inlineStr">
        <is>
          <t>Brotinho</t>
        </is>
      </c>
      <c r="D45" s="6">
        <f>IFERROR(INDEX(Comparativo!D:D,MATCH(1,(Comparativo!$B:$B=$B45)*(Comparativo!$C:$C=$C45),0)),"")</f>
        <v/>
      </c>
      <c r="E45" s="6">
        <f>IFERROR(INDEX(Comparativo!E:E,MATCH(1,(Comparativo!$B:$B=$B45)*(Comparativo!$C:$C=$C45),0)),"")</f>
        <v/>
      </c>
      <c r="F45" s="6">
        <f>IFERROR(INDEX(Comparativo!F:F,MATCH(1,(Comparativo!$B:$B=$B45)*(Comparativo!$C:$C=$C45),0)),"")</f>
        <v/>
      </c>
      <c r="G45" s="6">
        <f>IFERROR(D45*$C$3,"")</f>
        <v/>
      </c>
      <c r="H45" s="6">
        <f>IFERROR(E45*$C$4,"")</f>
        <v/>
      </c>
      <c r="I45" s="6">
        <f>IFERROR(F45*$C$5,"")</f>
        <v/>
      </c>
    </row>
    <row r="46">
      <c r="A46" t="inlineStr">
        <is>
          <t>Imperdíveis Pizzas salgadas</t>
        </is>
      </c>
      <c r="B46" t="inlineStr">
        <is>
          <t>Pizza Napolitana</t>
        </is>
      </c>
      <c r="C46" t="inlineStr">
        <is>
          <t>Grande</t>
        </is>
      </c>
      <c r="D46" s="6">
        <f>IFERROR(INDEX(Comparativo!D:D,MATCH(1,(Comparativo!$B:$B=$B46)*(Comparativo!$C:$C=$C46),0)),"")</f>
        <v/>
      </c>
      <c r="E46" s="6">
        <f>IFERROR(INDEX(Comparativo!E:E,MATCH(1,(Comparativo!$B:$B=$B46)*(Comparativo!$C:$C=$C46),0)),"")</f>
        <v/>
      </c>
      <c r="F46" s="6">
        <f>IFERROR(INDEX(Comparativo!F:F,MATCH(1,(Comparativo!$B:$B=$B46)*(Comparativo!$C:$C=$C46),0)),"")</f>
        <v/>
      </c>
      <c r="G46" s="6">
        <f>IFERROR(D46*$C$3,"")</f>
        <v/>
      </c>
      <c r="H46" s="6">
        <f>IFERROR(E46*$C$4,"")</f>
        <v/>
      </c>
      <c r="I46" s="6">
        <f>IFERROR(F46*$C$5,"")</f>
        <v/>
      </c>
    </row>
    <row r="47">
      <c r="A47" t="inlineStr">
        <is>
          <t>Imperdíveis Pizzas salgadas</t>
        </is>
      </c>
      <c r="B47" t="inlineStr">
        <is>
          <t>Pizza Mussarela</t>
        </is>
      </c>
      <c r="C47" t="inlineStr">
        <is>
          <t>Brotinho</t>
        </is>
      </c>
      <c r="D47" s="6">
        <f>IFERROR(INDEX(Comparativo!D:D,MATCH(1,(Comparativo!$B:$B=$B47)*(Comparativo!$C:$C=$C47),0)),"")</f>
        <v/>
      </c>
      <c r="E47" s="6">
        <f>IFERROR(INDEX(Comparativo!E:E,MATCH(1,(Comparativo!$B:$B=$B47)*(Comparativo!$C:$C=$C47),0)),"")</f>
        <v/>
      </c>
      <c r="F47" s="6">
        <f>IFERROR(INDEX(Comparativo!F:F,MATCH(1,(Comparativo!$B:$B=$B47)*(Comparativo!$C:$C=$C47),0)),"")</f>
        <v/>
      </c>
      <c r="G47" s="6">
        <f>IFERROR(D47*$C$3,"")</f>
        <v/>
      </c>
      <c r="H47" s="6">
        <f>IFERROR(E47*$C$4,"")</f>
        <v/>
      </c>
      <c r="I47" s="6">
        <f>IFERROR(F47*$C$5,"")</f>
        <v/>
      </c>
    </row>
    <row r="48">
      <c r="A48" t="inlineStr">
        <is>
          <t>Imperdíveis Pizzas salgadas</t>
        </is>
      </c>
      <c r="B48" t="inlineStr">
        <is>
          <t>Pizza Mussarela</t>
        </is>
      </c>
      <c r="C48" t="inlineStr">
        <is>
          <t>Grande</t>
        </is>
      </c>
      <c r="D48" s="6">
        <f>IFERROR(INDEX(Comparativo!D:D,MATCH(1,(Comparativo!$B:$B=$B48)*(Comparativo!$C:$C=$C48),0)),"")</f>
        <v/>
      </c>
      <c r="E48" s="6">
        <f>IFERROR(INDEX(Comparativo!E:E,MATCH(1,(Comparativo!$B:$B=$B48)*(Comparativo!$C:$C=$C48),0)),"")</f>
        <v/>
      </c>
      <c r="F48" s="6">
        <f>IFERROR(INDEX(Comparativo!F:F,MATCH(1,(Comparativo!$B:$B=$B48)*(Comparativo!$C:$C=$C48),0)),"")</f>
        <v/>
      </c>
      <c r="G48" s="6">
        <f>IFERROR(D48*$C$3,"")</f>
        <v/>
      </c>
      <c r="H48" s="6">
        <f>IFERROR(E48*$C$4,"")</f>
        <v/>
      </c>
      <c r="I48" s="6">
        <f>IFERROR(F48*$C$5,"")</f>
        <v/>
      </c>
    </row>
    <row r="49">
      <c r="A49" t="inlineStr">
        <is>
          <t>Imperdíveis Pizzas salgadas</t>
        </is>
      </c>
      <c r="B49" t="inlineStr">
        <is>
          <t>Pizza Mista</t>
        </is>
      </c>
      <c r="C49" t="inlineStr">
        <is>
          <t>Brotinho</t>
        </is>
      </c>
      <c r="D49" s="6">
        <f>IFERROR(INDEX(Comparativo!D:D,MATCH(1,(Comparativo!$B:$B=$B49)*(Comparativo!$C:$C=$C49),0)),"")</f>
        <v/>
      </c>
      <c r="E49" s="6">
        <f>IFERROR(INDEX(Comparativo!E:E,MATCH(1,(Comparativo!$B:$B=$B49)*(Comparativo!$C:$C=$C49),0)),"")</f>
        <v/>
      </c>
      <c r="F49" s="6">
        <f>IFERROR(INDEX(Comparativo!F:F,MATCH(1,(Comparativo!$B:$B=$B49)*(Comparativo!$C:$C=$C49),0)),"")</f>
        <v/>
      </c>
      <c r="G49" s="6">
        <f>IFERROR(D49*$C$3,"")</f>
        <v/>
      </c>
      <c r="H49" s="6">
        <f>IFERROR(E49*$C$4,"")</f>
        <v/>
      </c>
      <c r="I49" s="6">
        <f>IFERROR(F49*$C$5,"")</f>
        <v/>
      </c>
    </row>
    <row r="50">
      <c r="A50" t="inlineStr">
        <is>
          <t>Imperdíveis Pizzas salgadas</t>
        </is>
      </c>
      <c r="B50" t="inlineStr">
        <is>
          <t>Pizza Mista</t>
        </is>
      </c>
      <c r="C50" t="inlineStr">
        <is>
          <t>Grande</t>
        </is>
      </c>
      <c r="D50" s="6">
        <f>IFERROR(INDEX(Comparativo!D:D,MATCH(1,(Comparativo!$B:$B=$B50)*(Comparativo!$C:$C=$C50),0)),"")</f>
        <v/>
      </c>
      <c r="E50" s="6">
        <f>IFERROR(INDEX(Comparativo!E:E,MATCH(1,(Comparativo!$B:$B=$B50)*(Comparativo!$C:$C=$C50),0)),"")</f>
        <v/>
      </c>
      <c r="F50" s="6">
        <f>IFERROR(INDEX(Comparativo!F:F,MATCH(1,(Comparativo!$B:$B=$B50)*(Comparativo!$C:$C=$C50),0)),"")</f>
        <v/>
      </c>
      <c r="G50" s="6">
        <f>IFERROR(D50*$C$3,"")</f>
        <v/>
      </c>
      <c r="H50" s="6">
        <f>IFERROR(E50*$C$4,"")</f>
        <v/>
      </c>
      <c r="I50" s="6">
        <f>IFERROR(F50*$C$5,"")</f>
        <v/>
      </c>
    </row>
    <row r="51">
      <c r="A51" t="inlineStr">
        <is>
          <t>Imperdíveis Pizzas salgadas</t>
        </is>
      </c>
      <c r="B51" t="inlineStr">
        <is>
          <t>Pizza Milho</t>
        </is>
      </c>
      <c r="C51" t="inlineStr">
        <is>
          <t>Brotinho</t>
        </is>
      </c>
      <c r="D51" s="6">
        <f>IFERROR(INDEX(Comparativo!D:D,MATCH(1,(Comparativo!$B:$B=$B51)*(Comparativo!$C:$C=$C51),0)),"")</f>
        <v/>
      </c>
      <c r="E51" s="6">
        <f>IFERROR(INDEX(Comparativo!E:E,MATCH(1,(Comparativo!$B:$B=$B51)*(Comparativo!$C:$C=$C51),0)),"")</f>
        <v/>
      </c>
      <c r="F51" s="6">
        <f>IFERROR(INDEX(Comparativo!F:F,MATCH(1,(Comparativo!$B:$B=$B51)*(Comparativo!$C:$C=$C51),0)),"")</f>
        <v/>
      </c>
      <c r="G51" s="6">
        <f>IFERROR(D51*$C$3,"")</f>
        <v/>
      </c>
      <c r="H51" s="6">
        <f>IFERROR(E51*$C$4,"")</f>
        <v/>
      </c>
      <c r="I51" s="6">
        <f>IFERROR(F51*$C$5,"")</f>
        <v/>
      </c>
    </row>
    <row r="52">
      <c r="A52" t="inlineStr">
        <is>
          <t>Imperdíveis Pizzas salgadas</t>
        </is>
      </c>
      <c r="B52" t="inlineStr">
        <is>
          <t>Pizza Milho</t>
        </is>
      </c>
      <c r="C52" t="inlineStr">
        <is>
          <t>Grande</t>
        </is>
      </c>
      <c r="D52" s="6">
        <f>IFERROR(INDEX(Comparativo!D:D,MATCH(1,(Comparativo!$B:$B=$B52)*(Comparativo!$C:$C=$C52),0)),"")</f>
        <v/>
      </c>
      <c r="E52" s="6">
        <f>IFERROR(INDEX(Comparativo!E:E,MATCH(1,(Comparativo!$B:$B=$B52)*(Comparativo!$C:$C=$C52),0)),"")</f>
        <v/>
      </c>
      <c r="F52" s="6">
        <f>IFERROR(INDEX(Comparativo!F:F,MATCH(1,(Comparativo!$B:$B=$B52)*(Comparativo!$C:$C=$C52),0)),"")</f>
        <v/>
      </c>
      <c r="G52" s="6">
        <f>IFERROR(D52*$C$3,"")</f>
        <v/>
      </c>
      <c r="H52" s="6">
        <f>IFERROR(E52*$C$4,"")</f>
        <v/>
      </c>
      <c r="I52" s="6">
        <f>IFERROR(F52*$C$5,"")</f>
        <v/>
      </c>
    </row>
    <row r="53">
      <c r="A53" t="inlineStr">
        <is>
          <t>Imperdíveis Pizzas salgadas</t>
        </is>
      </c>
      <c r="B53" t="inlineStr">
        <is>
          <t>Pizza Marguerita Especial</t>
        </is>
      </c>
      <c r="C53" t="inlineStr">
        <is>
          <t>Brotinho</t>
        </is>
      </c>
      <c r="D53" s="6">
        <f>IFERROR(INDEX(Comparativo!D:D,MATCH(1,(Comparativo!$B:$B=$B53)*(Comparativo!$C:$C=$C53),0)),"")</f>
        <v/>
      </c>
      <c r="E53" s="6">
        <f>IFERROR(INDEX(Comparativo!E:E,MATCH(1,(Comparativo!$B:$B=$B53)*(Comparativo!$C:$C=$C53),0)),"")</f>
        <v/>
      </c>
      <c r="F53" s="6">
        <f>IFERROR(INDEX(Comparativo!F:F,MATCH(1,(Comparativo!$B:$B=$B53)*(Comparativo!$C:$C=$C53),0)),"")</f>
        <v/>
      </c>
      <c r="G53" s="6">
        <f>IFERROR(D53*$C$3,"")</f>
        <v/>
      </c>
      <c r="H53" s="6">
        <f>IFERROR(E53*$C$4,"")</f>
        <v/>
      </c>
      <c r="I53" s="6">
        <f>IFERROR(F53*$C$5,"")</f>
        <v/>
      </c>
    </row>
    <row r="54">
      <c r="A54" t="inlineStr">
        <is>
          <t>Imperdíveis Pizzas salgadas</t>
        </is>
      </c>
      <c r="B54" t="inlineStr">
        <is>
          <t>Pizza Marguerita Especial</t>
        </is>
      </c>
      <c r="C54" t="inlineStr">
        <is>
          <t>Grande</t>
        </is>
      </c>
      <c r="D54" s="6">
        <f>IFERROR(INDEX(Comparativo!D:D,MATCH(1,(Comparativo!$B:$B=$B54)*(Comparativo!$C:$C=$C54),0)),"")</f>
        <v/>
      </c>
      <c r="E54" s="6">
        <f>IFERROR(INDEX(Comparativo!E:E,MATCH(1,(Comparativo!$B:$B=$B54)*(Comparativo!$C:$C=$C54),0)),"")</f>
        <v/>
      </c>
      <c r="F54" s="6">
        <f>IFERROR(INDEX(Comparativo!F:F,MATCH(1,(Comparativo!$B:$B=$B54)*(Comparativo!$C:$C=$C54),0)),"")</f>
        <v/>
      </c>
      <c r="G54" s="6">
        <f>IFERROR(D54*$C$3,"")</f>
        <v/>
      </c>
      <c r="H54" s="6">
        <f>IFERROR(E54*$C$4,"")</f>
        <v/>
      </c>
      <c r="I54" s="6">
        <f>IFERROR(F54*$C$5,"")</f>
        <v/>
      </c>
    </row>
    <row r="55">
      <c r="A55" t="inlineStr">
        <is>
          <t>Imperdíveis Pizzas salgadas</t>
        </is>
      </c>
      <c r="B55" t="inlineStr">
        <is>
          <t>Pizza Marguerita</t>
        </is>
      </c>
      <c r="C55" t="inlineStr">
        <is>
          <t>Brotinho</t>
        </is>
      </c>
      <c r="D55" s="6">
        <f>IFERROR(INDEX(Comparativo!D:D,MATCH(1,(Comparativo!$B:$B=$B55)*(Comparativo!$C:$C=$C55),0)),"")</f>
        <v/>
      </c>
      <c r="E55" s="6">
        <f>IFERROR(INDEX(Comparativo!E:E,MATCH(1,(Comparativo!$B:$B=$B55)*(Comparativo!$C:$C=$C55),0)),"")</f>
        <v/>
      </c>
      <c r="F55" s="6">
        <f>IFERROR(INDEX(Comparativo!F:F,MATCH(1,(Comparativo!$B:$B=$B55)*(Comparativo!$C:$C=$C55),0)),"")</f>
        <v/>
      </c>
      <c r="G55" s="6">
        <f>IFERROR(D55*$C$3,"")</f>
        <v/>
      </c>
      <c r="H55" s="6">
        <f>IFERROR(E55*$C$4,"")</f>
        <v/>
      </c>
      <c r="I55" s="6">
        <f>IFERROR(F55*$C$5,"")</f>
        <v/>
      </c>
    </row>
    <row r="56">
      <c r="A56" t="inlineStr">
        <is>
          <t>Imperdíveis Pizzas salgadas</t>
        </is>
      </c>
      <c r="B56" t="inlineStr">
        <is>
          <t>Pizza Marguerita</t>
        </is>
      </c>
      <c r="C56" t="inlineStr">
        <is>
          <t>Grande</t>
        </is>
      </c>
      <c r="D56" s="6">
        <f>IFERROR(INDEX(Comparativo!D:D,MATCH(1,(Comparativo!$B:$B=$B56)*(Comparativo!$C:$C=$C56),0)),"")</f>
        <v/>
      </c>
      <c r="E56" s="6">
        <f>IFERROR(INDEX(Comparativo!E:E,MATCH(1,(Comparativo!$B:$B=$B56)*(Comparativo!$C:$C=$C56),0)),"")</f>
        <v/>
      </c>
      <c r="F56" s="6">
        <f>IFERROR(INDEX(Comparativo!F:F,MATCH(1,(Comparativo!$B:$B=$B56)*(Comparativo!$C:$C=$C56),0)),"")</f>
        <v/>
      </c>
      <c r="G56" s="6">
        <f>IFERROR(D56*$C$3,"")</f>
        <v/>
      </c>
      <c r="H56" s="6">
        <f>IFERROR(E56*$C$4,"")</f>
        <v/>
      </c>
      <c r="I56" s="6">
        <f>IFERROR(F56*$C$5,"")</f>
        <v/>
      </c>
    </row>
    <row r="57">
      <c r="A57" t="inlineStr">
        <is>
          <t>Imperdíveis Pizzas salgadas</t>
        </is>
      </c>
      <c r="B57" t="inlineStr">
        <is>
          <t>Pizza Lombo 2</t>
        </is>
      </c>
      <c r="C57" t="inlineStr">
        <is>
          <t>Brotinho</t>
        </is>
      </c>
      <c r="D57" s="6">
        <f>IFERROR(INDEX(Comparativo!D:D,MATCH(1,(Comparativo!$B:$B=$B57)*(Comparativo!$C:$C=$C57),0)),"")</f>
        <v/>
      </c>
      <c r="E57" s="6">
        <f>IFERROR(INDEX(Comparativo!E:E,MATCH(1,(Comparativo!$B:$B=$B57)*(Comparativo!$C:$C=$C57),0)),"")</f>
        <v/>
      </c>
      <c r="F57" s="6">
        <f>IFERROR(INDEX(Comparativo!F:F,MATCH(1,(Comparativo!$B:$B=$B57)*(Comparativo!$C:$C=$C57),0)),"")</f>
        <v/>
      </c>
      <c r="G57" s="6">
        <f>IFERROR(D57*$C$3,"")</f>
        <v/>
      </c>
      <c r="H57" s="6">
        <f>IFERROR(E57*$C$4,"")</f>
        <v/>
      </c>
      <c r="I57" s="6">
        <f>IFERROR(F57*$C$5,"")</f>
        <v/>
      </c>
    </row>
    <row r="58">
      <c r="A58" t="inlineStr">
        <is>
          <t>Imperdíveis Pizzas salgadas</t>
        </is>
      </c>
      <c r="B58" t="inlineStr">
        <is>
          <t>Pizza Lombo 2</t>
        </is>
      </c>
      <c r="C58" t="inlineStr">
        <is>
          <t>Grande</t>
        </is>
      </c>
      <c r="D58" s="6">
        <f>IFERROR(INDEX(Comparativo!D:D,MATCH(1,(Comparativo!$B:$B=$B58)*(Comparativo!$C:$C=$C58),0)),"")</f>
        <v/>
      </c>
      <c r="E58" s="6">
        <f>IFERROR(INDEX(Comparativo!E:E,MATCH(1,(Comparativo!$B:$B=$B58)*(Comparativo!$C:$C=$C58),0)),"")</f>
        <v/>
      </c>
      <c r="F58" s="6">
        <f>IFERROR(INDEX(Comparativo!F:F,MATCH(1,(Comparativo!$B:$B=$B58)*(Comparativo!$C:$C=$C58),0)),"")</f>
        <v/>
      </c>
      <c r="G58" s="6">
        <f>IFERROR(D58*$C$3,"")</f>
        <v/>
      </c>
      <c r="H58" s="6">
        <f>IFERROR(E58*$C$4,"")</f>
        <v/>
      </c>
      <c r="I58" s="6">
        <f>IFERROR(F58*$C$5,"")</f>
        <v/>
      </c>
    </row>
    <row r="59">
      <c r="A59" t="inlineStr">
        <is>
          <t>Imperdíveis Pizzas salgadas</t>
        </is>
      </c>
      <c r="B59" t="inlineStr">
        <is>
          <t>Pizza Lombo</t>
        </is>
      </c>
      <c r="C59" t="inlineStr">
        <is>
          <t>Brotinho</t>
        </is>
      </c>
      <c r="D59" s="6">
        <f>IFERROR(INDEX(Comparativo!D:D,MATCH(1,(Comparativo!$B:$B=$B59)*(Comparativo!$C:$C=$C59),0)),"")</f>
        <v/>
      </c>
      <c r="E59" s="6">
        <f>IFERROR(INDEX(Comparativo!E:E,MATCH(1,(Comparativo!$B:$B=$B59)*(Comparativo!$C:$C=$C59),0)),"")</f>
        <v/>
      </c>
      <c r="F59" s="6">
        <f>IFERROR(INDEX(Comparativo!F:F,MATCH(1,(Comparativo!$B:$B=$B59)*(Comparativo!$C:$C=$C59),0)),"")</f>
        <v/>
      </c>
      <c r="G59" s="6">
        <f>IFERROR(D59*$C$3,"")</f>
        <v/>
      </c>
      <c r="H59" s="6">
        <f>IFERROR(E59*$C$4,"")</f>
        <v/>
      </c>
      <c r="I59" s="6">
        <f>IFERROR(F59*$C$5,"")</f>
        <v/>
      </c>
    </row>
    <row r="60">
      <c r="A60" t="inlineStr">
        <is>
          <t>Imperdíveis Pizzas salgadas</t>
        </is>
      </c>
      <c r="B60" t="inlineStr">
        <is>
          <t>Pizza Lombo</t>
        </is>
      </c>
      <c r="C60" t="inlineStr">
        <is>
          <t>Grande</t>
        </is>
      </c>
      <c r="D60" s="6">
        <f>IFERROR(INDEX(Comparativo!D:D,MATCH(1,(Comparativo!$B:$B=$B60)*(Comparativo!$C:$C=$C60),0)),"")</f>
        <v/>
      </c>
      <c r="E60" s="6">
        <f>IFERROR(INDEX(Comparativo!E:E,MATCH(1,(Comparativo!$B:$B=$B60)*(Comparativo!$C:$C=$C60),0)),"")</f>
        <v/>
      </c>
      <c r="F60" s="6">
        <f>IFERROR(INDEX(Comparativo!F:F,MATCH(1,(Comparativo!$B:$B=$B60)*(Comparativo!$C:$C=$C60),0)),"")</f>
        <v/>
      </c>
      <c r="G60" s="6">
        <f>IFERROR(D60*$C$3,"")</f>
        <v/>
      </c>
      <c r="H60" s="6">
        <f>IFERROR(E60*$C$4,"")</f>
        <v/>
      </c>
      <c r="I60" s="6">
        <f>IFERROR(F60*$C$5,"")</f>
        <v/>
      </c>
    </row>
    <row r="61">
      <c r="A61" t="inlineStr">
        <is>
          <t>Imperdíveis Pizzas salgadas</t>
        </is>
      </c>
      <c r="B61" t="inlineStr">
        <is>
          <t>Pizza Light</t>
        </is>
      </c>
      <c r="C61" t="inlineStr">
        <is>
          <t>Brotinho</t>
        </is>
      </c>
      <c r="D61" s="6">
        <f>IFERROR(INDEX(Comparativo!D:D,MATCH(1,(Comparativo!$B:$B=$B61)*(Comparativo!$C:$C=$C61),0)),"")</f>
        <v/>
      </c>
      <c r="E61" s="6">
        <f>IFERROR(INDEX(Comparativo!E:E,MATCH(1,(Comparativo!$B:$B=$B61)*(Comparativo!$C:$C=$C61),0)),"")</f>
        <v/>
      </c>
      <c r="F61" s="6">
        <f>IFERROR(INDEX(Comparativo!F:F,MATCH(1,(Comparativo!$B:$B=$B61)*(Comparativo!$C:$C=$C61),0)),"")</f>
        <v/>
      </c>
      <c r="G61" s="6">
        <f>IFERROR(D61*$C$3,"")</f>
        <v/>
      </c>
      <c r="H61" s="6">
        <f>IFERROR(E61*$C$4,"")</f>
        <v/>
      </c>
      <c r="I61" s="6">
        <f>IFERROR(F61*$C$5,"")</f>
        <v/>
      </c>
    </row>
    <row r="62">
      <c r="A62" t="inlineStr">
        <is>
          <t>Imperdíveis Pizzas salgadas</t>
        </is>
      </c>
      <c r="B62" t="inlineStr">
        <is>
          <t>Pizza Light</t>
        </is>
      </c>
      <c r="C62" t="inlineStr">
        <is>
          <t>Grande</t>
        </is>
      </c>
      <c r="D62" s="6">
        <f>IFERROR(INDEX(Comparativo!D:D,MATCH(1,(Comparativo!$B:$B=$B62)*(Comparativo!$C:$C=$C62),0)),"")</f>
        <v/>
      </c>
      <c r="E62" s="6">
        <f>IFERROR(INDEX(Comparativo!E:E,MATCH(1,(Comparativo!$B:$B=$B62)*(Comparativo!$C:$C=$C62),0)),"")</f>
        <v/>
      </c>
      <c r="F62" s="6">
        <f>IFERROR(INDEX(Comparativo!F:F,MATCH(1,(Comparativo!$B:$B=$B62)*(Comparativo!$C:$C=$C62),0)),"")</f>
        <v/>
      </c>
      <c r="G62" s="6">
        <f>IFERROR(D62*$C$3,"")</f>
        <v/>
      </c>
      <c r="H62" s="6">
        <f>IFERROR(E62*$C$4,"")</f>
        <v/>
      </c>
      <c r="I62" s="6">
        <f>IFERROR(F62*$C$5,"")</f>
        <v/>
      </c>
    </row>
    <row r="63">
      <c r="A63" t="inlineStr">
        <is>
          <t>Imperdíveis Pizzas salgadas</t>
        </is>
      </c>
      <c r="B63" t="inlineStr">
        <is>
          <t>Pizza Jardineira</t>
        </is>
      </c>
      <c r="C63" t="inlineStr">
        <is>
          <t>Brotinho</t>
        </is>
      </c>
      <c r="D63" s="6">
        <f>IFERROR(INDEX(Comparativo!D:D,MATCH(1,(Comparativo!$B:$B=$B63)*(Comparativo!$C:$C=$C63),0)),"")</f>
        <v/>
      </c>
      <c r="E63" s="6">
        <f>IFERROR(INDEX(Comparativo!E:E,MATCH(1,(Comparativo!$B:$B=$B63)*(Comparativo!$C:$C=$C63),0)),"")</f>
        <v/>
      </c>
      <c r="F63" s="6">
        <f>IFERROR(INDEX(Comparativo!F:F,MATCH(1,(Comparativo!$B:$B=$B63)*(Comparativo!$C:$C=$C63),0)),"")</f>
        <v/>
      </c>
      <c r="G63" s="6">
        <f>IFERROR(D63*$C$3,"")</f>
        <v/>
      </c>
      <c r="H63" s="6">
        <f>IFERROR(E63*$C$4,"")</f>
        <v/>
      </c>
      <c r="I63" s="6">
        <f>IFERROR(F63*$C$5,"")</f>
        <v/>
      </c>
    </row>
    <row r="64">
      <c r="A64" t="inlineStr">
        <is>
          <t>Imperdíveis Pizzas salgadas</t>
        </is>
      </c>
      <c r="B64" t="inlineStr">
        <is>
          <t>Pizza Jardineira</t>
        </is>
      </c>
      <c r="C64" t="inlineStr">
        <is>
          <t>Grande</t>
        </is>
      </c>
      <c r="D64" s="6">
        <f>IFERROR(INDEX(Comparativo!D:D,MATCH(1,(Comparativo!$B:$B=$B64)*(Comparativo!$C:$C=$C64),0)),"")</f>
        <v/>
      </c>
      <c r="E64" s="6">
        <f>IFERROR(INDEX(Comparativo!E:E,MATCH(1,(Comparativo!$B:$B=$B64)*(Comparativo!$C:$C=$C64),0)),"")</f>
        <v/>
      </c>
      <c r="F64" s="6">
        <f>IFERROR(INDEX(Comparativo!F:F,MATCH(1,(Comparativo!$B:$B=$B64)*(Comparativo!$C:$C=$C64),0)),"")</f>
        <v/>
      </c>
      <c r="G64" s="6">
        <f>IFERROR(D64*$C$3,"")</f>
        <v/>
      </c>
      <c r="H64" s="6">
        <f>IFERROR(E64*$C$4,"")</f>
        <v/>
      </c>
      <c r="I64" s="6">
        <f>IFERROR(F64*$C$5,"")</f>
        <v/>
      </c>
    </row>
    <row r="65">
      <c r="A65" t="inlineStr">
        <is>
          <t>Imperdíveis Pizzas salgadas</t>
        </is>
      </c>
      <c r="B65" t="inlineStr">
        <is>
          <t>Pizza Frango Especial</t>
        </is>
      </c>
      <c r="C65" t="inlineStr">
        <is>
          <t>Brotinho</t>
        </is>
      </c>
      <c r="D65" s="6">
        <f>IFERROR(INDEX(Comparativo!D:D,MATCH(1,(Comparativo!$B:$B=$B65)*(Comparativo!$C:$C=$C65),0)),"")</f>
        <v/>
      </c>
      <c r="E65" s="6">
        <f>IFERROR(INDEX(Comparativo!E:E,MATCH(1,(Comparativo!$B:$B=$B65)*(Comparativo!$C:$C=$C65),0)),"")</f>
        <v/>
      </c>
      <c r="F65" s="6">
        <f>IFERROR(INDEX(Comparativo!F:F,MATCH(1,(Comparativo!$B:$B=$B65)*(Comparativo!$C:$C=$C65),0)),"")</f>
        <v/>
      </c>
      <c r="G65" s="6">
        <f>IFERROR(D65*$C$3,"")</f>
        <v/>
      </c>
      <c r="H65" s="6">
        <f>IFERROR(E65*$C$4,"")</f>
        <v/>
      </c>
      <c r="I65" s="6">
        <f>IFERROR(F65*$C$5,"")</f>
        <v/>
      </c>
    </row>
    <row r="66">
      <c r="A66" t="inlineStr">
        <is>
          <t>Imperdíveis Pizzas salgadas</t>
        </is>
      </c>
      <c r="B66" t="inlineStr">
        <is>
          <t>Pizza Frango Especial</t>
        </is>
      </c>
      <c r="C66" t="inlineStr">
        <is>
          <t>Grande</t>
        </is>
      </c>
      <c r="D66" s="6">
        <f>IFERROR(INDEX(Comparativo!D:D,MATCH(1,(Comparativo!$B:$B=$B66)*(Comparativo!$C:$C=$C66),0)),"")</f>
        <v/>
      </c>
      <c r="E66" s="6">
        <f>IFERROR(INDEX(Comparativo!E:E,MATCH(1,(Comparativo!$B:$B=$B66)*(Comparativo!$C:$C=$C66),0)),"")</f>
        <v/>
      </c>
      <c r="F66" s="6">
        <f>IFERROR(INDEX(Comparativo!F:F,MATCH(1,(Comparativo!$B:$B=$B66)*(Comparativo!$C:$C=$C66),0)),"")</f>
        <v/>
      </c>
      <c r="G66" s="6">
        <f>IFERROR(D66*$C$3,"")</f>
        <v/>
      </c>
      <c r="H66" s="6">
        <f>IFERROR(E66*$C$4,"")</f>
        <v/>
      </c>
      <c r="I66" s="6">
        <f>IFERROR(F66*$C$5,"")</f>
        <v/>
      </c>
    </row>
    <row r="67">
      <c r="A67" t="inlineStr">
        <is>
          <t>Imperdíveis Pizzas salgadas</t>
        </is>
      </c>
      <c r="B67" t="inlineStr">
        <is>
          <t>Pizza Frango Catupiry</t>
        </is>
      </c>
      <c r="C67" t="inlineStr">
        <is>
          <t>Brotinho</t>
        </is>
      </c>
      <c r="D67" s="6">
        <f>IFERROR(INDEX(Comparativo!D:D,MATCH(1,(Comparativo!$B:$B=$B67)*(Comparativo!$C:$C=$C67),0)),"")</f>
        <v/>
      </c>
      <c r="E67" s="6">
        <f>IFERROR(INDEX(Comparativo!E:E,MATCH(1,(Comparativo!$B:$B=$B67)*(Comparativo!$C:$C=$C67),0)),"")</f>
        <v/>
      </c>
      <c r="F67" s="6">
        <f>IFERROR(INDEX(Comparativo!F:F,MATCH(1,(Comparativo!$B:$B=$B67)*(Comparativo!$C:$C=$C67),0)),"")</f>
        <v/>
      </c>
      <c r="G67" s="6">
        <f>IFERROR(D67*$C$3,"")</f>
        <v/>
      </c>
      <c r="H67" s="6">
        <f>IFERROR(E67*$C$4,"")</f>
        <v/>
      </c>
      <c r="I67" s="6">
        <f>IFERROR(F67*$C$5,"")</f>
        <v/>
      </c>
    </row>
    <row r="68">
      <c r="A68" t="inlineStr">
        <is>
          <t>Imperdíveis Pizzas salgadas</t>
        </is>
      </c>
      <c r="B68" t="inlineStr">
        <is>
          <t>Pizza Frango Catupiry</t>
        </is>
      </c>
      <c r="C68" t="inlineStr">
        <is>
          <t>Grande</t>
        </is>
      </c>
      <c r="D68" s="6">
        <f>IFERROR(INDEX(Comparativo!D:D,MATCH(1,(Comparativo!$B:$B=$B68)*(Comparativo!$C:$C=$C68),0)),"")</f>
        <v/>
      </c>
      <c r="E68" s="6">
        <f>IFERROR(INDEX(Comparativo!E:E,MATCH(1,(Comparativo!$B:$B=$B68)*(Comparativo!$C:$C=$C68),0)),"")</f>
        <v/>
      </c>
      <c r="F68" s="6">
        <f>IFERROR(INDEX(Comparativo!F:F,MATCH(1,(Comparativo!$B:$B=$B68)*(Comparativo!$C:$C=$C68),0)),"")</f>
        <v/>
      </c>
      <c r="G68" s="6">
        <f>IFERROR(D68*$C$3,"")</f>
        <v/>
      </c>
      <c r="H68" s="6">
        <f>IFERROR(E68*$C$4,"")</f>
        <v/>
      </c>
      <c r="I68" s="6">
        <f>IFERROR(F68*$C$5,"")</f>
        <v/>
      </c>
    </row>
    <row r="69">
      <c r="A69" t="inlineStr">
        <is>
          <t>Imperdíveis Pizzas salgadas</t>
        </is>
      </c>
      <c r="B69" t="inlineStr">
        <is>
          <t>Pizza Filé Mignon</t>
        </is>
      </c>
      <c r="C69" t="inlineStr">
        <is>
          <t>Brotinho</t>
        </is>
      </c>
      <c r="D69" s="6">
        <f>IFERROR(INDEX(Comparativo!D:D,MATCH(1,(Comparativo!$B:$B=$B69)*(Comparativo!$C:$C=$C69),0)),"")</f>
        <v/>
      </c>
      <c r="E69" s="6">
        <f>IFERROR(INDEX(Comparativo!E:E,MATCH(1,(Comparativo!$B:$B=$B69)*(Comparativo!$C:$C=$C69),0)),"")</f>
        <v/>
      </c>
      <c r="F69" s="6">
        <f>IFERROR(INDEX(Comparativo!F:F,MATCH(1,(Comparativo!$B:$B=$B69)*(Comparativo!$C:$C=$C69),0)),"")</f>
        <v/>
      </c>
      <c r="G69" s="6">
        <f>IFERROR(D69*$C$3,"")</f>
        <v/>
      </c>
      <c r="H69" s="6">
        <f>IFERROR(E69*$C$4,"")</f>
        <v/>
      </c>
      <c r="I69" s="6">
        <f>IFERROR(F69*$C$5,"")</f>
        <v/>
      </c>
    </row>
    <row r="70">
      <c r="A70" t="inlineStr">
        <is>
          <t>Imperdíveis Pizzas salgadas</t>
        </is>
      </c>
      <c r="B70" t="inlineStr">
        <is>
          <t>Pizza Filé Mignon</t>
        </is>
      </c>
      <c r="C70" t="inlineStr">
        <is>
          <t>Grande</t>
        </is>
      </c>
      <c r="D70" s="6">
        <f>IFERROR(INDEX(Comparativo!D:D,MATCH(1,(Comparativo!$B:$B=$B70)*(Comparativo!$C:$C=$C70),0)),"")</f>
        <v/>
      </c>
      <c r="E70" s="6">
        <f>IFERROR(INDEX(Comparativo!E:E,MATCH(1,(Comparativo!$B:$B=$B70)*(Comparativo!$C:$C=$C70),0)),"")</f>
        <v/>
      </c>
      <c r="F70" s="6">
        <f>IFERROR(INDEX(Comparativo!F:F,MATCH(1,(Comparativo!$B:$B=$B70)*(Comparativo!$C:$C=$C70),0)),"")</f>
        <v/>
      </c>
      <c r="G70" s="6">
        <f>IFERROR(D70*$C$3,"")</f>
        <v/>
      </c>
      <c r="H70" s="6">
        <f>IFERROR(E70*$C$4,"")</f>
        <v/>
      </c>
      <c r="I70" s="6">
        <f>IFERROR(F70*$C$5,"")</f>
        <v/>
      </c>
    </row>
    <row r="71">
      <c r="A71" t="inlineStr">
        <is>
          <t>Imperdíveis Pizzas salgadas</t>
        </is>
      </c>
      <c r="B71" t="inlineStr">
        <is>
          <t>Pizza Favorita</t>
        </is>
      </c>
      <c r="C71" t="inlineStr">
        <is>
          <t>Brotinho</t>
        </is>
      </c>
      <c r="D71" s="6">
        <f>IFERROR(INDEX(Comparativo!D:D,MATCH(1,(Comparativo!$B:$B=$B71)*(Comparativo!$C:$C=$C71),0)),"")</f>
        <v/>
      </c>
      <c r="E71" s="6">
        <f>IFERROR(INDEX(Comparativo!E:E,MATCH(1,(Comparativo!$B:$B=$B71)*(Comparativo!$C:$C=$C71),0)),"")</f>
        <v/>
      </c>
      <c r="F71" s="6">
        <f>IFERROR(INDEX(Comparativo!F:F,MATCH(1,(Comparativo!$B:$B=$B71)*(Comparativo!$C:$C=$C71),0)),"")</f>
        <v/>
      </c>
      <c r="G71" s="6">
        <f>IFERROR(D71*$C$3,"")</f>
        <v/>
      </c>
      <c r="H71" s="6">
        <f>IFERROR(E71*$C$4,"")</f>
        <v/>
      </c>
      <c r="I71" s="6">
        <f>IFERROR(F71*$C$5,"")</f>
        <v/>
      </c>
    </row>
    <row r="72">
      <c r="A72" t="inlineStr">
        <is>
          <t>Imperdíveis Pizzas salgadas</t>
        </is>
      </c>
      <c r="B72" t="inlineStr">
        <is>
          <t>Pizza Favorita</t>
        </is>
      </c>
      <c r="C72" t="inlineStr">
        <is>
          <t>Grande</t>
        </is>
      </c>
      <c r="D72" s="6">
        <f>IFERROR(INDEX(Comparativo!D:D,MATCH(1,(Comparativo!$B:$B=$B72)*(Comparativo!$C:$C=$C72),0)),"")</f>
        <v/>
      </c>
      <c r="E72" s="6">
        <f>IFERROR(INDEX(Comparativo!E:E,MATCH(1,(Comparativo!$B:$B=$B72)*(Comparativo!$C:$C=$C72),0)),"")</f>
        <v/>
      </c>
      <c r="F72" s="6">
        <f>IFERROR(INDEX(Comparativo!F:F,MATCH(1,(Comparativo!$B:$B=$B72)*(Comparativo!$C:$C=$C72),0)),"")</f>
        <v/>
      </c>
      <c r="G72" s="6">
        <f>IFERROR(D72*$C$3,"")</f>
        <v/>
      </c>
      <c r="H72" s="6">
        <f>IFERROR(E72*$C$4,"")</f>
        <v/>
      </c>
      <c r="I72" s="6">
        <f>IFERROR(F72*$C$5,"")</f>
        <v/>
      </c>
    </row>
    <row r="73">
      <c r="A73" t="inlineStr">
        <is>
          <t>Imperdíveis Pizzas salgadas</t>
        </is>
      </c>
      <c r="B73" t="inlineStr">
        <is>
          <t>Pizza Executiva</t>
        </is>
      </c>
      <c r="C73" t="inlineStr">
        <is>
          <t>Brotinho</t>
        </is>
      </c>
      <c r="D73" s="6">
        <f>IFERROR(INDEX(Comparativo!D:D,MATCH(1,(Comparativo!$B:$B=$B73)*(Comparativo!$C:$C=$C73),0)),"")</f>
        <v/>
      </c>
      <c r="E73" s="6">
        <f>IFERROR(INDEX(Comparativo!E:E,MATCH(1,(Comparativo!$B:$B=$B73)*(Comparativo!$C:$C=$C73),0)),"")</f>
        <v/>
      </c>
      <c r="F73" s="6">
        <f>IFERROR(INDEX(Comparativo!F:F,MATCH(1,(Comparativo!$B:$B=$B73)*(Comparativo!$C:$C=$C73),0)),"")</f>
        <v/>
      </c>
      <c r="G73" s="6">
        <f>IFERROR(D73*$C$3,"")</f>
        <v/>
      </c>
      <c r="H73" s="6">
        <f>IFERROR(E73*$C$4,"")</f>
        <v/>
      </c>
      <c r="I73" s="6">
        <f>IFERROR(F73*$C$5,"")</f>
        <v/>
      </c>
    </row>
    <row r="74">
      <c r="A74" t="inlineStr">
        <is>
          <t>Imperdíveis Pizzas salgadas</t>
        </is>
      </c>
      <c r="B74" t="inlineStr">
        <is>
          <t>Pizza Executiva</t>
        </is>
      </c>
      <c r="C74" t="inlineStr">
        <is>
          <t>Grande</t>
        </is>
      </c>
      <c r="D74" s="6">
        <f>IFERROR(INDEX(Comparativo!D:D,MATCH(1,(Comparativo!$B:$B=$B74)*(Comparativo!$C:$C=$C74),0)),"")</f>
        <v/>
      </c>
      <c r="E74" s="6">
        <f>IFERROR(INDEX(Comparativo!E:E,MATCH(1,(Comparativo!$B:$B=$B74)*(Comparativo!$C:$C=$C74),0)),"")</f>
        <v/>
      </c>
      <c r="F74" s="6">
        <f>IFERROR(INDEX(Comparativo!F:F,MATCH(1,(Comparativo!$B:$B=$B74)*(Comparativo!$C:$C=$C74),0)),"")</f>
        <v/>
      </c>
      <c r="G74" s="6">
        <f>IFERROR(D74*$C$3,"")</f>
        <v/>
      </c>
      <c r="H74" s="6">
        <f>IFERROR(E74*$C$4,"")</f>
        <v/>
      </c>
      <c r="I74" s="6">
        <f>IFERROR(F74*$C$5,"")</f>
        <v/>
      </c>
    </row>
    <row r="75">
      <c r="A75" t="inlineStr">
        <is>
          <t>Imperdíveis Pizzas salgadas</t>
        </is>
      </c>
      <c r="B75" t="inlineStr">
        <is>
          <t>Pizza Especial</t>
        </is>
      </c>
      <c r="C75" t="inlineStr">
        <is>
          <t>Brotinho</t>
        </is>
      </c>
      <c r="D75" s="6">
        <f>IFERROR(INDEX(Comparativo!D:D,MATCH(1,(Comparativo!$B:$B=$B75)*(Comparativo!$C:$C=$C75),0)),"")</f>
        <v/>
      </c>
      <c r="E75" s="6">
        <f>IFERROR(INDEX(Comparativo!E:E,MATCH(1,(Comparativo!$B:$B=$B75)*(Comparativo!$C:$C=$C75),0)),"")</f>
        <v/>
      </c>
      <c r="F75" s="6">
        <f>IFERROR(INDEX(Comparativo!F:F,MATCH(1,(Comparativo!$B:$B=$B75)*(Comparativo!$C:$C=$C75),0)),"")</f>
        <v/>
      </c>
      <c r="G75" s="6">
        <f>IFERROR(D75*$C$3,"")</f>
        <v/>
      </c>
      <c r="H75" s="6">
        <f>IFERROR(E75*$C$4,"")</f>
        <v/>
      </c>
      <c r="I75" s="6">
        <f>IFERROR(F75*$C$5,"")</f>
        <v/>
      </c>
    </row>
    <row r="76">
      <c r="A76" t="inlineStr">
        <is>
          <t>Imperdíveis Pizzas salgadas</t>
        </is>
      </c>
      <c r="B76" t="inlineStr">
        <is>
          <t>Pizza Especial</t>
        </is>
      </c>
      <c r="C76" t="inlineStr">
        <is>
          <t>Grande</t>
        </is>
      </c>
      <c r="D76" s="6">
        <f>IFERROR(INDEX(Comparativo!D:D,MATCH(1,(Comparativo!$B:$B=$B76)*(Comparativo!$C:$C=$C76),0)),"")</f>
        <v/>
      </c>
      <c r="E76" s="6">
        <f>IFERROR(INDEX(Comparativo!E:E,MATCH(1,(Comparativo!$B:$B=$B76)*(Comparativo!$C:$C=$C76),0)),"")</f>
        <v/>
      </c>
      <c r="F76" s="6">
        <f>IFERROR(INDEX(Comparativo!F:F,MATCH(1,(Comparativo!$B:$B=$B76)*(Comparativo!$C:$C=$C76),0)),"")</f>
        <v/>
      </c>
      <c r="G76" s="6">
        <f>IFERROR(D76*$C$3,"")</f>
        <v/>
      </c>
      <c r="H76" s="6">
        <f>IFERROR(E76*$C$4,"")</f>
        <v/>
      </c>
      <c r="I76" s="6">
        <f>IFERROR(F76*$C$5,"")</f>
        <v/>
      </c>
    </row>
    <row r="77">
      <c r="A77" t="inlineStr">
        <is>
          <t>Imperdíveis Pizzas salgadas</t>
        </is>
      </c>
      <c r="B77" t="inlineStr">
        <is>
          <t>Pizza Espanhola</t>
        </is>
      </c>
      <c r="C77" t="inlineStr">
        <is>
          <t>Brotinho</t>
        </is>
      </c>
      <c r="D77" s="6">
        <f>IFERROR(INDEX(Comparativo!D:D,MATCH(1,(Comparativo!$B:$B=$B77)*(Comparativo!$C:$C=$C77),0)),"")</f>
        <v/>
      </c>
      <c r="E77" s="6">
        <f>IFERROR(INDEX(Comparativo!E:E,MATCH(1,(Comparativo!$B:$B=$B77)*(Comparativo!$C:$C=$C77),0)),"")</f>
        <v/>
      </c>
      <c r="F77" s="6">
        <f>IFERROR(INDEX(Comparativo!F:F,MATCH(1,(Comparativo!$B:$B=$B77)*(Comparativo!$C:$C=$C77),0)),"")</f>
        <v/>
      </c>
      <c r="G77" s="6">
        <f>IFERROR(D77*$C$3,"")</f>
        <v/>
      </c>
      <c r="H77" s="6">
        <f>IFERROR(E77*$C$4,"")</f>
        <v/>
      </c>
      <c r="I77" s="6">
        <f>IFERROR(F77*$C$5,"")</f>
        <v/>
      </c>
    </row>
    <row r="78">
      <c r="A78" t="inlineStr">
        <is>
          <t>Imperdíveis Pizzas salgadas</t>
        </is>
      </c>
      <c r="B78" t="inlineStr">
        <is>
          <t>Pizza Espanhola</t>
        </is>
      </c>
      <c r="C78" t="inlineStr">
        <is>
          <t>Grande</t>
        </is>
      </c>
      <c r="D78" s="6">
        <f>IFERROR(INDEX(Comparativo!D:D,MATCH(1,(Comparativo!$B:$B=$B78)*(Comparativo!$C:$C=$C78),0)),"")</f>
        <v/>
      </c>
      <c r="E78" s="6">
        <f>IFERROR(INDEX(Comparativo!E:E,MATCH(1,(Comparativo!$B:$B=$B78)*(Comparativo!$C:$C=$C78),0)),"")</f>
        <v/>
      </c>
      <c r="F78" s="6">
        <f>IFERROR(INDEX(Comparativo!F:F,MATCH(1,(Comparativo!$B:$B=$B78)*(Comparativo!$C:$C=$C78),0)),"")</f>
        <v/>
      </c>
      <c r="G78" s="6">
        <f>IFERROR(D78*$C$3,"")</f>
        <v/>
      </c>
      <c r="H78" s="6">
        <f>IFERROR(E78*$C$4,"")</f>
        <v/>
      </c>
      <c r="I78" s="6">
        <f>IFERROR(F78*$C$5,"")</f>
        <v/>
      </c>
    </row>
    <row r="79">
      <c r="A79" t="inlineStr">
        <is>
          <t>Imperdíveis Pizzas salgadas</t>
        </is>
      </c>
      <c r="B79" t="inlineStr">
        <is>
          <t>Pizza Escarola Especial</t>
        </is>
      </c>
      <c r="C79" t="inlineStr">
        <is>
          <t>Brotinho</t>
        </is>
      </c>
      <c r="D79" s="6">
        <f>IFERROR(INDEX(Comparativo!D:D,MATCH(1,(Comparativo!$B:$B=$B79)*(Comparativo!$C:$C=$C79),0)),"")</f>
        <v/>
      </c>
      <c r="E79" s="6">
        <f>IFERROR(INDEX(Comparativo!E:E,MATCH(1,(Comparativo!$B:$B=$B79)*(Comparativo!$C:$C=$C79),0)),"")</f>
        <v/>
      </c>
      <c r="F79" s="6">
        <f>IFERROR(INDEX(Comparativo!F:F,MATCH(1,(Comparativo!$B:$B=$B79)*(Comparativo!$C:$C=$C79),0)),"")</f>
        <v/>
      </c>
      <c r="G79" s="6">
        <f>IFERROR(D79*$C$3,"")</f>
        <v/>
      </c>
      <c r="H79" s="6">
        <f>IFERROR(E79*$C$4,"")</f>
        <v/>
      </c>
      <c r="I79" s="6">
        <f>IFERROR(F79*$C$5,"")</f>
        <v/>
      </c>
    </row>
    <row r="80">
      <c r="A80" t="inlineStr">
        <is>
          <t>Imperdíveis Pizzas salgadas</t>
        </is>
      </c>
      <c r="B80" t="inlineStr">
        <is>
          <t>Pizza Escarola Especial</t>
        </is>
      </c>
      <c r="C80" t="inlineStr">
        <is>
          <t>Grande</t>
        </is>
      </c>
      <c r="D80" s="6">
        <f>IFERROR(INDEX(Comparativo!D:D,MATCH(1,(Comparativo!$B:$B=$B80)*(Comparativo!$C:$C=$C80),0)),"")</f>
        <v/>
      </c>
      <c r="E80" s="6">
        <f>IFERROR(INDEX(Comparativo!E:E,MATCH(1,(Comparativo!$B:$B=$B80)*(Comparativo!$C:$C=$C80),0)),"")</f>
        <v/>
      </c>
      <c r="F80" s="6">
        <f>IFERROR(INDEX(Comparativo!F:F,MATCH(1,(Comparativo!$B:$B=$B80)*(Comparativo!$C:$C=$C80),0)),"")</f>
        <v/>
      </c>
      <c r="G80" s="6">
        <f>IFERROR(D80*$C$3,"")</f>
        <v/>
      </c>
      <c r="H80" s="6">
        <f>IFERROR(E80*$C$4,"")</f>
        <v/>
      </c>
      <c r="I80" s="6">
        <f>IFERROR(F80*$C$5,"")</f>
        <v/>
      </c>
    </row>
    <row r="81">
      <c r="A81" t="inlineStr">
        <is>
          <t>Imperdíveis Pizzas salgadas</t>
        </is>
      </c>
      <c r="B81" t="inlineStr">
        <is>
          <t>Pizza Escarola</t>
        </is>
      </c>
      <c r="C81" t="inlineStr">
        <is>
          <t>Brotinho</t>
        </is>
      </c>
      <c r="D81" s="6">
        <f>IFERROR(INDEX(Comparativo!D:D,MATCH(1,(Comparativo!$B:$B=$B81)*(Comparativo!$C:$C=$C81),0)),"")</f>
        <v/>
      </c>
      <c r="E81" s="6">
        <f>IFERROR(INDEX(Comparativo!E:E,MATCH(1,(Comparativo!$B:$B=$B81)*(Comparativo!$C:$C=$C81),0)),"")</f>
        <v/>
      </c>
      <c r="F81" s="6">
        <f>IFERROR(INDEX(Comparativo!F:F,MATCH(1,(Comparativo!$B:$B=$B81)*(Comparativo!$C:$C=$C81),0)),"")</f>
        <v/>
      </c>
      <c r="G81" s="6">
        <f>IFERROR(D81*$C$3,"")</f>
        <v/>
      </c>
      <c r="H81" s="6">
        <f>IFERROR(E81*$C$4,"")</f>
        <v/>
      </c>
      <c r="I81" s="6">
        <f>IFERROR(F81*$C$5,"")</f>
        <v/>
      </c>
    </row>
    <row r="82">
      <c r="A82" t="inlineStr">
        <is>
          <t>Imperdíveis Pizzas salgadas</t>
        </is>
      </c>
      <c r="B82" t="inlineStr">
        <is>
          <t>Pizza Escarola</t>
        </is>
      </c>
      <c r="C82" t="inlineStr">
        <is>
          <t>Grande</t>
        </is>
      </c>
      <c r="D82" s="6">
        <f>IFERROR(INDEX(Comparativo!D:D,MATCH(1,(Comparativo!$B:$B=$B82)*(Comparativo!$C:$C=$C82),0)),"")</f>
        <v/>
      </c>
      <c r="E82" s="6">
        <f>IFERROR(INDEX(Comparativo!E:E,MATCH(1,(Comparativo!$B:$B=$B82)*(Comparativo!$C:$C=$C82),0)),"")</f>
        <v/>
      </c>
      <c r="F82" s="6">
        <f>IFERROR(INDEX(Comparativo!F:F,MATCH(1,(Comparativo!$B:$B=$B82)*(Comparativo!$C:$C=$C82),0)),"")</f>
        <v/>
      </c>
      <c r="G82" s="6">
        <f>IFERROR(D82*$C$3,"")</f>
        <v/>
      </c>
      <c r="H82" s="6">
        <f>IFERROR(E82*$C$4,"")</f>
        <v/>
      </c>
      <c r="I82" s="6">
        <f>IFERROR(F82*$C$5,"")</f>
        <v/>
      </c>
    </row>
    <row r="83">
      <c r="A83" t="inlineStr">
        <is>
          <t>Imperdíveis Pizzas salgadas</t>
        </is>
      </c>
      <c r="B83" t="inlineStr">
        <is>
          <t>Pizza Do Pizzaiolo</t>
        </is>
      </c>
      <c r="C83" t="inlineStr">
        <is>
          <t>Brotinho</t>
        </is>
      </c>
      <c r="D83" s="6">
        <f>IFERROR(INDEX(Comparativo!D:D,MATCH(1,(Comparativo!$B:$B=$B83)*(Comparativo!$C:$C=$C83),0)),"")</f>
        <v/>
      </c>
      <c r="E83" s="6">
        <f>IFERROR(INDEX(Comparativo!E:E,MATCH(1,(Comparativo!$B:$B=$B83)*(Comparativo!$C:$C=$C83),0)),"")</f>
        <v/>
      </c>
      <c r="F83" s="6">
        <f>IFERROR(INDEX(Comparativo!F:F,MATCH(1,(Comparativo!$B:$B=$B83)*(Comparativo!$C:$C=$C83),0)),"")</f>
        <v/>
      </c>
      <c r="G83" s="6">
        <f>IFERROR(D83*$C$3,"")</f>
        <v/>
      </c>
      <c r="H83" s="6">
        <f>IFERROR(E83*$C$4,"")</f>
        <v/>
      </c>
      <c r="I83" s="6">
        <f>IFERROR(F83*$C$5,"")</f>
        <v/>
      </c>
    </row>
    <row r="84">
      <c r="A84" t="inlineStr">
        <is>
          <t>Imperdíveis Pizzas salgadas</t>
        </is>
      </c>
      <c r="B84" t="inlineStr">
        <is>
          <t>Pizza Do Pizzaiolo</t>
        </is>
      </c>
      <c r="C84" t="inlineStr">
        <is>
          <t>Grande</t>
        </is>
      </c>
      <c r="D84" s="6">
        <f>IFERROR(INDEX(Comparativo!D:D,MATCH(1,(Comparativo!$B:$B=$B84)*(Comparativo!$C:$C=$C84),0)),"")</f>
        <v/>
      </c>
      <c r="E84" s="6">
        <f>IFERROR(INDEX(Comparativo!E:E,MATCH(1,(Comparativo!$B:$B=$B84)*(Comparativo!$C:$C=$C84),0)),"")</f>
        <v/>
      </c>
      <c r="F84" s="6">
        <f>IFERROR(INDEX(Comparativo!F:F,MATCH(1,(Comparativo!$B:$B=$B84)*(Comparativo!$C:$C=$C84),0)),"")</f>
        <v/>
      </c>
      <c r="G84" s="6">
        <f>IFERROR(D84*$C$3,"")</f>
        <v/>
      </c>
      <c r="H84" s="6">
        <f>IFERROR(E84*$C$4,"")</f>
        <v/>
      </c>
      <c r="I84" s="6">
        <f>IFERROR(F84*$C$5,"")</f>
        <v/>
      </c>
    </row>
    <row r="85">
      <c r="A85" t="inlineStr">
        <is>
          <t>Imperdíveis Pizzas salgadas</t>
        </is>
      </c>
      <c r="B85" t="inlineStr">
        <is>
          <t>Pizza Classic</t>
        </is>
      </c>
      <c r="C85" t="inlineStr">
        <is>
          <t>Brotinho</t>
        </is>
      </c>
      <c r="D85" s="6">
        <f>IFERROR(INDEX(Comparativo!D:D,MATCH(1,(Comparativo!$B:$B=$B85)*(Comparativo!$C:$C=$C85),0)),"")</f>
        <v/>
      </c>
      <c r="E85" s="6">
        <f>IFERROR(INDEX(Comparativo!E:E,MATCH(1,(Comparativo!$B:$B=$B85)*(Comparativo!$C:$C=$C85),0)),"")</f>
        <v/>
      </c>
      <c r="F85" s="6">
        <f>IFERROR(INDEX(Comparativo!F:F,MATCH(1,(Comparativo!$B:$B=$B85)*(Comparativo!$C:$C=$C85),0)),"")</f>
        <v/>
      </c>
      <c r="G85" s="6">
        <f>IFERROR(D85*$C$3,"")</f>
        <v/>
      </c>
      <c r="H85" s="6">
        <f>IFERROR(E85*$C$4,"")</f>
        <v/>
      </c>
      <c r="I85" s="6">
        <f>IFERROR(F85*$C$5,"")</f>
        <v/>
      </c>
    </row>
    <row r="86">
      <c r="A86" t="inlineStr">
        <is>
          <t>Imperdíveis Pizzas salgadas</t>
        </is>
      </c>
      <c r="B86" t="inlineStr">
        <is>
          <t>Pizza Classic</t>
        </is>
      </c>
      <c r="C86" t="inlineStr">
        <is>
          <t>Grande</t>
        </is>
      </c>
      <c r="D86" s="6">
        <f>IFERROR(INDEX(Comparativo!D:D,MATCH(1,(Comparativo!$B:$B=$B86)*(Comparativo!$C:$C=$C86),0)),"")</f>
        <v/>
      </c>
      <c r="E86" s="6">
        <f>IFERROR(INDEX(Comparativo!E:E,MATCH(1,(Comparativo!$B:$B=$B86)*(Comparativo!$C:$C=$C86),0)),"")</f>
        <v/>
      </c>
      <c r="F86" s="6">
        <f>IFERROR(INDEX(Comparativo!F:F,MATCH(1,(Comparativo!$B:$B=$B86)*(Comparativo!$C:$C=$C86),0)),"")</f>
        <v/>
      </c>
      <c r="G86" s="6">
        <f>IFERROR(D86*$C$3,"")</f>
        <v/>
      </c>
      <c r="H86" s="6">
        <f>IFERROR(E86*$C$4,"")</f>
        <v/>
      </c>
      <c r="I86" s="6">
        <f>IFERROR(F86*$C$5,"")</f>
        <v/>
      </c>
    </row>
    <row r="87">
      <c r="A87" t="inlineStr">
        <is>
          <t>Imperdíveis Pizzas salgadas</t>
        </is>
      </c>
      <c r="B87" t="inlineStr">
        <is>
          <t>Pizza Classe Especial</t>
        </is>
      </c>
      <c r="C87" t="inlineStr">
        <is>
          <t>Brotinho</t>
        </is>
      </c>
      <c r="D87" s="6">
        <f>IFERROR(INDEX(Comparativo!D:D,MATCH(1,(Comparativo!$B:$B=$B87)*(Comparativo!$C:$C=$C87),0)),"")</f>
        <v/>
      </c>
      <c r="E87" s="6">
        <f>IFERROR(INDEX(Comparativo!E:E,MATCH(1,(Comparativo!$B:$B=$B87)*(Comparativo!$C:$C=$C87),0)),"")</f>
        <v/>
      </c>
      <c r="F87" s="6">
        <f>IFERROR(INDEX(Comparativo!F:F,MATCH(1,(Comparativo!$B:$B=$B87)*(Comparativo!$C:$C=$C87),0)),"")</f>
        <v/>
      </c>
      <c r="G87" s="6">
        <f>IFERROR(D87*$C$3,"")</f>
        <v/>
      </c>
      <c r="H87" s="6">
        <f>IFERROR(E87*$C$4,"")</f>
        <v/>
      </c>
      <c r="I87" s="6">
        <f>IFERROR(F87*$C$5,"")</f>
        <v/>
      </c>
    </row>
    <row r="88">
      <c r="A88" t="inlineStr">
        <is>
          <t>Imperdíveis Pizzas salgadas</t>
        </is>
      </c>
      <c r="B88" t="inlineStr">
        <is>
          <t>Pizza Classe Especial</t>
        </is>
      </c>
      <c r="C88" t="inlineStr">
        <is>
          <t>Grande</t>
        </is>
      </c>
      <c r="D88" s="6">
        <f>IFERROR(INDEX(Comparativo!D:D,MATCH(1,(Comparativo!$B:$B=$B88)*(Comparativo!$C:$C=$C88),0)),"")</f>
        <v/>
      </c>
      <c r="E88" s="6">
        <f>IFERROR(INDEX(Comparativo!E:E,MATCH(1,(Comparativo!$B:$B=$B88)*(Comparativo!$C:$C=$C88),0)),"")</f>
        <v/>
      </c>
      <c r="F88" s="6">
        <f>IFERROR(INDEX(Comparativo!F:F,MATCH(1,(Comparativo!$B:$B=$B88)*(Comparativo!$C:$C=$C88),0)),"")</f>
        <v/>
      </c>
      <c r="G88" s="6">
        <f>IFERROR(D88*$C$3,"")</f>
        <v/>
      </c>
      <c r="H88" s="6">
        <f>IFERROR(E88*$C$4,"")</f>
        <v/>
      </c>
      <c r="I88" s="6">
        <f>IFERROR(F88*$C$5,"")</f>
        <v/>
      </c>
    </row>
    <row r="89">
      <c r="A89" t="inlineStr">
        <is>
          <t>Imperdíveis Pizzas salgadas</t>
        </is>
      </c>
      <c r="B89" t="inlineStr">
        <is>
          <t>Pizza Catupiry</t>
        </is>
      </c>
      <c r="C89" t="inlineStr">
        <is>
          <t>Brotinho</t>
        </is>
      </c>
      <c r="D89" s="6">
        <f>IFERROR(INDEX(Comparativo!D:D,MATCH(1,(Comparativo!$B:$B=$B89)*(Comparativo!$C:$C=$C89),0)),"")</f>
        <v/>
      </c>
      <c r="E89" s="6">
        <f>IFERROR(INDEX(Comparativo!E:E,MATCH(1,(Comparativo!$B:$B=$B89)*(Comparativo!$C:$C=$C89),0)),"")</f>
        <v/>
      </c>
      <c r="F89" s="6">
        <f>IFERROR(INDEX(Comparativo!F:F,MATCH(1,(Comparativo!$B:$B=$B89)*(Comparativo!$C:$C=$C89),0)),"")</f>
        <v/>
      </c>
      <c r="G89" s="6">
        <f>IFERROR(D89*$C$3,"")</f>
        <v/>
      </c>
      <c r="H89" s="6">
        <f>IFERROR(E89*$C$4,"")</f>
        <v/>
      </c>
      <c r="I89" s="6">
        <f>IFERROR(F89*$C$5,"")</f>
        <v/>
      </c>
    </row>
    <row r="90">
      <c r="A90" t="inlineStr">
        <is>
          <t>Imperdíveis Pizzas salgadas</t>
        </is>
      </c>
      <c r="B90" t="inlineStr">
        <is>
          <t>Pizza Catupiry</t>
        </is>
      </c>
      <c r="C90" t="inlineStr">
        <is>
          <t>Grande</t>
        </is>
      </c>
      <c r="D90" s="6">
        <f>IFERROR(INDEX(Comparativo!D:D,MATCH(1,(Comparativo!$B:$B=$B90)*(Comparativo!$C:$C=$C90),0)),"")</f>
        <v/>
      </c>
      <c r="E90" s="6">
        <f>IFERROR(INDEX(Comparativo!E:E,MATCH(1,(Comparativo!$B:$B=$B90)*(Comparativo!$C:$C=$C90),0)),"")</f>
        <v/>
      </c>
      <c r="F90" s="6">
        <f>IFERROR(INDEX(Comparativo!F:F,MATCH(1,(Comparativo!$B:$B=$B90)*(Comparativo!$C:$C=$C90),0)),"")</f>
        <v/>
      </c>
      <c r="G90" s="6">
        <f>IFERROR(D90*$C$3,"")</f>
        <v/>
      </c>
      <c r="H90" s="6">
        <f>IFERROR(E90*$C$4,"")</f>
        <v/>
      </c>
      <c r="I90" s="6">
        <f>IFERROR(F90*$C$5,"")</f>
        <v/>
      </c>
    </row>
    <row r="91">
      <c r="A91" t="inlineStr">
        <is>
          <t>Imperdíveis Pizzas salgadas</t>
        </is>
      </c>
      <c r="B91" t="inlineStr">
        <is>
          <t>Pizza Carne Seca</t>
        </is>
      </c>
      <c r="C91" t="inlineStr">
        <is>
          <t>Brotinho</t>
        </is>
      </c>
      <c r="D91" s="6">
        <f>IFERROR(INDEX(Comparativo!D:D,MATCH(1,(Comparativo!$B:$B=$B91)*(Comparativo!$C:$C=$C91),0)),"")</f>
        <v/>
      </c>
      <c r="E91" s="6">
        <f>IFERROR(INDEX(Comparativo!E:E,MATCH(1,(Comparativo!$B:$B=$B91)*(Comparativo!$C:$C=$C91),0)),"")</f>
        <v/>
      </c>
      <c r="F91" s="6">
        <f>IFERROR(INDEX(Comparativo!F:F,MATCH(1,(Comparativo!$B:$B=$B91)*(Comparativo!$C:$C=$C91),0)),"")</f>
        <v/>
      </c>
      <c r="G91" s="6">
        <f>IFERROR(D91*$C$3,"")</f>
        <v/>
      </c>
      <c r="H91" s="6">
        <f>IFERROR(E91*$C$4,"")</f>
        <v/>
      </c>
      <c r="I91" s="6">
        <f>IFERROR(F91*$C$5,"")</f>
        <v/>
      </c>
    </row>
    <row r="92">
      <c r="A92" t="inlineStr">
        <is>
          <t>Imperdíveis Pizzas salgadas</t>
        </is>
      </c>
      <c r="B92" t="inlineStr">
        <is>
          <t>Pizza Carne Seca</t>
        </is>
      </c>
      <c r="C92" t="inlineStr">
        <is>
          <t>Grande</t>
        </is>
      </c>
      <c r="D92" s="6">
        <f>IFERROR(INDEX(Comparativo!D:D,MATCH(1,(Comparativo!$B:$B=$B92)*(Comparativo!$C:$C=$C92),0)),"")</f>
        <v/>
      </c>
      <c r="E92" s="6">
        <f>IFERROR(INDEX(Comparativo!E:E,MATCH(1,(Comparativo!$B:$B=$B92)*(Comparativo!$C:$C=$C92),0)),"")</f>
        <v/>
      </c>
      <c r="F92" s="6">
        <f>IFERROR(INDEX(Comparativo!F:F,MATCH(1,(Comparativo!$B:$B=$B92)*(Comparativo!$C:$C=$C92),0)),"")</f>
        <v/>
      </c>
      <c r="G92" s="6">
        <f>IFERROR(D92*$C$3,"")</f>
        <v/>
      </c>
      <c r="H92" s="6">
        <f>IFERROR(E92*$C$4,"")</f>
        <v/>
      </c>
      <c r="I92" s="6">
        <f>IFERROR(F92*$C$5,"")</f>
        <v/>
      </c>
    </row>
    <row r="93">
      <c r="A93" t="inlineStr">
        <is>
          <t>Imperdíveis Pizzas salgadas</t>
        </is>
      </c>
      <c r="B93" t="inlineStr">
        <is>
          <t>Pizza Caprichosa</t>
        </is>
      </c>
      <c r="C93" t="inlineStr">
        <is>
          <t>Brotinho</t>
        </is>
      </c>
      <c r="D93" s="6">
        <f>IFERROR(INDEX(Comparativo!D:D,MATCH(1,(Comparativo!$B:$B=$B93)*(Comparativo!$C:$C=$C93),0)),"")</f>
        <v/>
      </c>
      <c r="E93" s="6">
        <f>IFERROR(INDEX(Comparativo!E:E,MATCH(1,(Comparativo!$B:$B=$B93)*(Comparativo!$C:$C=$C93),0)),"")</f>
        <v/>
      </c>
      <c r="F93" s="6">
        <f>IFERROR(INDEX(Comparativo!F:F,MATCH(1,(Comparativo!$B:$B=$B93)*(Comparativo!$C:$C=$C93),0)),"")</f>
        <v/>
      </c>
      <c r="G93" s="6">
        <f>IFERROR(D93*$C$3,"")</f>
        <v/>
      </c>
      <c r="H93" s="6">
        <f>IFERROR(E93*$C$4,"")</f>
        <v/>
      </c>
      <c r="I93" s="6">
        <f>IFERROR(F93*$C$5,"")</f>
        <v/>
      </c>
    </row>
    <row r="94">
      <c r="A94" t="inlineStr">
        <is>
          <t>Imperdíveis Pizzas salgadas</t>
        </is>
      </c>
      <c r="B94" t="inlineStr">
        <is>
          <t>Pizza Caprichosa</t>
        </is>
      </c>
      <c r="C94" t="inlineStr">
        <is>
          <t>Grande</t>
        </is>
      </c>
      <c r="D94" s="6">
        <f>IFERROR(INDEX(Comparativo!D:D,MATCH(1,(Comparativo!$B:$B=$B94)*(Comparativo!$C:$C=$C94),0)),"")</f>
        <v/>
      </c>
      <c r="E94" s="6">
        <f>IFERROR(INDEX(Comparativo!E:E,MATCH(1,(Comparativo!$B:$B=$B94)*(Comparativo!$C:$C=$C94),0)),"")</f>
        <v/>
      </c>
      <c r="F94" s="6">
        <f>IFERROR(INDEX(Comparativo!F:F,MATCH(1,(Comparativo!$B:$B=$B94)*(Comparativo!$C:$C=$C94),0)),"")</f>
        <v/>
      </c>
      <c r="G94" s="6">
        <f>IFERROR(D94*$C$3,"")</f>
        <v/>
      </c>
      <c r="H94" s="6">
        <f>IFERROR(E94*$C$4,"")</f>
        <v/>
      </c>
      <c r="I94" s="6">
        <f>IFERROR(F94*$C$5,"")</f>
        <v/>
      </c>
    </row>
    <row r="95">
      <c r="A95" t="inlineStr">
        <is>
          <t>Imperdíveis Pizzas salgadas</t>
        </is>
      </c>
      <c r="B95" t="inlineStr">
        <is>
          <t>Pizza Camarão</t>
        </is>
      </c>
      <c r="C95" t="inlineStr">
        <is>
          <t>Brotinho</t>
        </is>
      </c>
      <c r="D95" s="6">
        <f>IFERROR(INDEX(Comparativo!D:D,MATCH(1,(Comparativo!$B:$B=$B95)*(Comparativo!$C:$C=$C95),0)),"")</f>
        <v/>
      </c>
      <c r="E95" s="6">
        <f>IFERROR(INDEX(Comparativo!E:E,MATCH(1,(Comparativo!$B:$B=$B95)*(Comparativo!$C:$C=$C95),0)),"")</f>
        <v/>
      </c>
      <c r="F95" s="6">
        <f>IFERROR(INDEX(Comparativo!F:F,MATCH(1,(Comparativo!$B:$B=$B95)*(Comparativo!$C:$C=$C95),0)),"")</f>
        <v/>
      </c>
      <c r="G95" s="6">
        <f>IFERROR(D95*$C$3,"")</f>
        <v/>
      </c>
      <c r="H95" s="6">
        <f>IFERROR(E95*$C$4,"")</f>
        <v/>
      </c>
      <c r="I95" s="6">
        <f>IFERROR(F95*$C$5,"")</f>
        <v/>
      </c>
    </row>
    <row r="96">
      <c r="A96" t="inlineStr">
        <is>
          <t>Imperdíveis Pizzas salgadas</t>
        </is>
      </c>
      <c r="B96" t="inlineStr">
        <is>
          <t>Pizza Camarão</t>
        </is>
      </c>
      <c r="C96" t="inlineStr">
        <is>
          <t>Grande</t>
        </is>
      </c>
      <c r="D96" s="6">
        <f>IFERROR(INDEX(Comparativo!D:D,MATCH(1,(Comparativo!$B:$B=$B96)*(Comparativo!$C:$C=$C96),0)),"")</f>
        <v/>
      </c>
      <c r="E96" s="6">
        <f>IFERROR(INDEX(Comparativo!E:E,MATCH(1,(Comparativo!$B:$B=$B96)*(Comparativo!$C:$C=$C96),0)),"")</f>
        <v/>
      </c>
      <c r="F96" s="6">
        <f>IFERROR(INDEX(Comparativo!F:F,MATCH(1,(Comparativo!$B:$B=$B96)*(Comparativo!$C:$C=$C96),0)),"")</f>
        <v/>
      </c>
      <c r="G96" s="6">
        <f>IFERROR(D96*$C$3,"")</f>
        <v/>
      </c>
      <c r="H96" s="6">
        <f>IFERROR(E96*$C$4,"")</f>
        <v/>
      </c>
      <c r="I96" s="6">
        <f>IFERROR(F96*$C$5,"")</f>
        <v/>
      </c>
    </row>
    <row r="97">
      <c r="A97" t="inlineStr">
        <is>
          <t>Imperdíveis Pizzas salgadas</t>
        </is>
      </c>
      <c r="B97" t="inlineStr">
        <is>
          <t>Pizza Calacatu</t>
        </is>
      </c>
      <c r="C97" t="inlineStr">
        <is>
          <t>Brotinho</t>
        </is>
      </c>
      <c r="D97" s="6">
        <f>IFERROR(INDEX(Comparativo!D:D,MATCH(1,(Comparativo!$B:$B=$B97)*(Comparativo!$C:$C=$C97),0)),"")</f>
        <v/>
      </c>
      <c r="E97" s="6">
        <f>IFERROR(INDEX(Comparativo!E:E,MATCH(1,(Comparativo!$B:$B=$B97)*(Comparativo!$C:$C=$C97),0)),"")</f>
        <v/>
      </c>
      <c r="F97" s="6">
        <f>IFERROR(INDEX(Comparativo!F:F,MATCH(1,(Comparativo!$B:$B=$B97)*(Comparativo!$C:$C=$C97),0)),"")</f>
        <v/>
      </c>
      <c r="G97" s="6">
        <f>IFERROR(D97*$C$3,"")</f>
        <v/>
      </c>
      <c r="H97" s="6">
        <f>IFERROR(E97*$C$4,"")</f>
        <v/>
      </c>
      <c r="I97" s="6">
        <f>IFERROR(F97*$C$5,"")</f>
        <v/>
      </c>
    </row>
    <row r="98">
      <c r="A98" t="inlineStr">
        <is>
          <t>Imperdíveis Pizzas salgadas</t>
        </is>
      </c>
      <c r="B98" t="inlineStr">
        <is>
          <t>Pizza Calacatu</t>
        </is>
      </c>
      <c r="C98" t="inlineStr">
        <is>
          <t>Grande</t>
        </is>
      </c>
      <c r="D98" s="6">
        <f>IFERROR(INDEX(Comparativo!D:D,MATCH(1,(Comparativo!$B:$B=$B98)*(Comparativo!$C:$C=$C98),0)),"")</f>
        <v/>
      </c>
      <c r="E98" s="6">
        <f>IFERROR(INDEX(Comparativo!E:E,MATCH(1,(Comparativo!$B:$B=$B98)*(Comparativo!$C:$C=$C98),0)),"")</f>
        <v/>
      </c>
      <c r="F98" s="6">
        <f>IFERROR(INDEX(Comparativo!F:F,MATCH(1,(Comparativo!$B:$B=$B98)*(Comparativo!$C:$C=$C98),0)),"")</f>
        <v/>
      </c>
      <c r="G98" s="6">
        <f>IFERROR(D98*$C$3,"")</f>
        <v/>
      </c>
      <c r="H98" s="6">
        <f>IFERROR(E98*$C$4,"")</f>
        <v/>
      </c>
      <c r="I98" s="6">
        <f>IFERROR(F98*$C$5,"")</f>
        <v/>
      </c>
    </row>
    <row r="99">
      <c r="A99" t="inlineStr">
        <is>
          <t>Imperdíveis Pizzas salgadas</t>
        </is>
      </c>
      <c r="B99" t="inlineStr">
        <is>
          <t>Pizza Calabresa</t>
        </is>
      </c>
      <c r="C99" t="inlineStr">
        <is>
          <t>Brotinho</t>
        </is>
      </c>
      <c r="D99" s="6">
        <f>IFERROR(INDEX(Comparativo!D:D,MATCH(1,(Comparativo!$B:$B=$B99)*(Comparativo!$C:$C=$C99),0)),"")</f>
        <v/>
      </c>
      <c r="E99" s="6">
        <f>IFERROR(INDEX(Comparativo!E:E,MATCH(1,(Comparativo!$B:$B=$B99)*(Comparativo!$C:$C=$C99),0)),"")</f>
        <v/>
      </c>
      <c r="F99" s="6">
        <f>IFERROR(INDEX(Comparativo!F:F,MATCH(1,(Comparativo!$B:$B=$B99)*(Comparativo!$C:$C=$C99),0)),"")</f>
        <v/>
      </c>
      <c r="G99" s="6">
        <f>IFERROR(D99*$C$3,"")</f>
        <v/>
      </c>
      <c r="H99" s="6">
        <f>IFERROR(E99*$C$4,"")</f>
        <v/>
      </c>
      <c r="I99" s="6">
        <f>IFERROR(F99*$C$5,"")</f>
        <v/>
      </c>
    </row>
    <row r="100">
      <c r="A100" t="inlineStr">
        <is>
          <t>Imperdíveis Pizzas salgadas</t>
        </is>
      </c>
      <c r="B100" t="inlineStr">
        <is>
          <t>Pizza Calabresa</t>
        </is>
      </c>
      <c r="C100" t="inlineStr">
        <is>
          <t>Grande</t>
        </is>
      </c>
      <c r="D100" s="6">
        <f>IFERROR(INDEX(Comparativo!D:D,MATCH(1,(Comparativo!$B:$B=$B100)*(Comparativo!$C:$C=$C100),0)),"")</f>
        <v/>
      </c>
      <c r="E100" s="6">
        <f>IFERROR(INDEX(Comparativo!E:E,MATCH(1,(Comparativo!$B:$B=$B100)*(Comparativo!$C:$C=$C100),0)),"")</f>
        <v/>
      </c>
      <c r="F100" s="6">
        <f>IFERROR(INDEX(Comparativo!F:F,MATCH(1,(Comparativo!$B:$B=$B100)*(Comparativo!$C:$C=$C100),0)),"")</f>
        <v/>
      </c>
      <c r="G100" s="6">
        <f>IFERROR(D100*$C$3,"")</f>
        <v/>
      </c>
      <c r="H100" s="6">
        <f>IFERROR(E100*$C$4,"")</f>
        <v/>
      </c>
      <c r="I100" s="6">
        <f>IFERROR(F100*$C$5,"")</f>
        <v/>
      </c>
    </row>
    <row r="101">
      <c r="A101" t="inlineStr">
        <is>
          <t>Imperdíveis Pizzas salgadas</t>
        </is>
      </c>
      <c r="B101" t="inlineStr">
        <is>
          <t>Pizza Caipira</t>
        </is>
      </c>
      <c r="C101" t="inlineStr">
        <is>
          <t>Brotinho</t>
        </is>
      </c>
      <c r="D101" s="6">
        <f>IFERROR(INDEX(Comparativo!D:D,MATCH(1,(Comparativo!$B:$B=$B101)*(Comparativo!$C:$C=$C101),0)),"")</f>
        <v/>
      </c>
      <c r="E101" s="6">
        <f>IFERROR(INDEX(Comparativo!E:E,MATCH(1,(Comparativo!$B:$B=$B101)*(Comparativo!$C:$C=$C101),0)),"")</f>
        <v/>
      </c>
      <c r="F101" s="6">
        <f>IFERROR(INDEX(Comparativo!F:F,MATCH(1,(Comparativo!$B:$B=$B101)*(Comparativo!$C:$C=$C101),0)),"")</f>
        <v/>
      </c>
      <c r="G101" s="6">
        <f>IFERROR(D101*$C$3,"")</f>
        <v/>
      </c>
      <c r="H101" s="6">
        <f>IFERROR(E101*$C$4,"")</f>
        <v/>
      </c>
      <c r="I101" s="6">
        <f>IFERROR(F101*$C$5,"")</f>
        <v/>
      </c>
    </row>
    <row r="102">
      <c r="A102" t="inlineStr">
        <is>
          <t>Imperdíveis Pizzas salgadas</t>
        </is>
      </c>
      <c r="B102" t="inlineStr">
        <is>
          <t>Pizza Caipira</t>
        </is>
      </c>
      <c r="C102" t="inlineStr">
        <is>
          <t>Grande</t>
        </is>
      </c>
      <c r="D102" s="6">
        <f>IFERROR(INDEX(Comparativo!D:D,MATCH(1,(Comparativo!$B:$B=$B102)*(Comparativo!$C:$C=$C102),0)),"")</f>
        <v/>
      </c>
      <c r="E102" s="6">
        <f>IFERROR(INDEX(Comparativo!E:E,MATCH(1,(Comparativo!$B:$B=$B102)*(Comparativo!$C:$C=$C102),0)),"")</f>
        <v/>
      </c>
      <c r="F102" s="6">
        <f>IFERROR(INDEX(Comparativo!F:F,MATCH(1,(Comparativo!$B:$B=$B102)*(Comparativo!$C:$C=$C102),0)),"")</f>
        <v/>
      </c>
      <c r="G102" s="6">
        <f>IFERROR(D102*$C$3,"")</f>
        <v/>
      </c>
      <c r="H102" s="6">
        <f>IFERROR(E102*$C$4,"")</f>
        <v/>
      </c>
      <c r="I102" s="6">
        <f>IFERROR(F102*$C$5,"")</f>
        <v/>
      </c>
    </row>
    <row r="103">
      <c r="A103" t="inlineStr">
        <is>
          <t>Imperdíveis Pizzas salgadas</t>
        </is>
      </c>
      <c r="B103" t="inlineStr">
        <is>
          <t>Pizza Búfala</t>
        </is>
      </c>
      <c r="C103" t="inlineStr">
        <is>
          <t>Brotinho</t>
        </is>
      </c>
      <c r="D103" s="6">
        <f>IFERROR(INDEX(Comparativo!D:D,MATCH(1,(Comparativo!$B:$B=$B103)*(Comparativo!$C:$C=$C103),0)),"")</f>
        <v/>
      </c>
      <c r="E103" s="6">
        <f>IFERROR(INDEX(Comparativo!E:E,MATCH(1,(Comparativo!$B:$B=$B103)*(Comparativo!$C:$C=$C103),0)),"")</f>
        <v/>
      </c>
      <c r="F103" s="6">
        <f>IFERROR(INDEX(Comparativo!F:F,MATCH(1,(Comparativo!$B:$B=$B103)*(Comparativo!$C:$C=$C103),0)),"")</f>
        <v/>
      </c>
      <c r="G103" s="6">
        <f>IFERROR(D103*$C$3,"")</f>
        <v/>
      </c>
      <c r="H103" s="6">
        <f>IFERROR(E103*$C$4,"")</f>
        <v/>
      </c>
      <c r="I103" s="6">
        <f>IFERROR(F103*$C$5,"")</f>
        <v/>
      </c>
    </row>
    <row r="104">
      <c r="A104" t="inlineStr">
        <is>
          <t>Imperdíveis Pizzas salgadas</t>
        </is>
      </c>
      <c r="B104" t="inlineStr">
        <is>
          <t>Pizza Búfala</t>
        </is>
      </c>
      <c r="C104" t="inlineStr">
        <is>
          <t>Grande</t>
        </is>
      </c>
      <c r="D104" s="6">
        <f>IFERROR(INDEX(Comparativo!D:D,MATCH(1,(Comparativo!$B:$B=$B104)*(Comparativo!$C:$C=$C104),0)),"")</f>
        <v/>
      </c>
      <c r="E104" s="6">
        <f>IFERROR(INDEX(Comparativo!E:E,MATCH(1,(Comparativo!$B:$B=$B104)*(Comparativo!$C:$C=$C104),0)),"")</f>
        <v/>
      </c>
      <c r="F104" s="6">
        <f>IFERROR(INDEX(Comparativo!F:F,MATCH(1,(Comparativo!$B:$B=$B104)*(Comparativo!$C:$C=$C104),0)),"")</f>
        <v/>
      </c>
      <c r="G104" s="6">
        <f>IFERROR(D104*$C$3,"")</f>
        <v/>
      </c>
      <c r="H104" s="6">
        <f>IFERROR(E104*$C$4,"")</f>
        <v/>
      </c>
      <c r="I104" s="6">
        <f>IFERROR(F104*$C$5,"")</f>
        <v/>
      </c>
    </row>
    <row r="105">
      <c r="A105" t="inlineStr">
        <is>
          <t>Imperdíveis Pizzas salgadas</t>
        </is>
      </c>
      <c r="B105" t="inlineStr">
        <is>
          <t>Pizza Brócolis 3</t>
        </is>
      </c>
      <c r="C105" t="inlineStr">
        <is>
          <t>Brotinho</t>
        </is>
      </c>
      <c r="D105" s="6">
        <f>IFERROR(INDEX(Comparativo!D:D,MATCH(1,(Comparativo!$B:$B=$B105)*(Comparativo!$C:$C=$C105),0)),"")</f>
        <v/>
      </c>
      <c r="E105" s="6">
        <f>IFERROR(INDEX(Comparativo!E:E,MATCH(1,(Comparativo!$B:$B=$B105)*(Comparativo!$C:$C=$C105),0)),"")</f>
        <v/>
      </c>
      <c r="F105" s="6">
        <f>IFERROR(INDEX(Comparativo!F:F,MATCH(1,(Comparativo!$B:$B=$B105)*(Comparativo!$C:$C=$C105),0)),"")</f>
        <v/>
      </c>
      <c r="G105" s="6">
        <f>IFERROR(D105*$C$3,"")</f>
        <v/>
      </c>
      <c r="H105" s="6">
        <f>IFERROR(E105*$C$4,"")</f>
        <v/>
      </c>
      <c r="I105" s="6">
        <f>IFERROR(F105*$C$5,"")</f>
        <v/>
      </c>
    </row>
    <row r="106">
      <c r="A106" t="inlineStr">
        <is>
          <t>Imperdíveis Pizzas salgadas</t>
        </is>
      </c>
      <c r="B106" t="inlineStr">
        <is>
          <t>Pizza Brócolis 3</t>
        </is>
      </c>
      <c r="C106" t="inlineStr">
        <is>
          <t>Grande</t>
        </is>
      </c>
      <c r="D106" s="6">
        <f>IFERROR(INDEX(Comparativo!D:D,MATCH(1,(Comparativo!$B:$B=$B106)*(Comparativo!$C:$C=$C106),0)),"")</f>
        <v/>
      </c>
      <c r="E106" s="6">
        <f>IFERROR(INDEX(Comparativo!E:E,MATCH(1,(Comparativo!$B:$B=$B106)*(Comparativo!$C:$C=$C106),0)),"")</f>
        <v/>
      </c>
      <c r="F106" s="6">
        <f>IFERROR(INDEX(Comparativo!F:F,MATCH(1,(Comparativo!$B:$B=$B106)*(Comparativo!$C:$C=$C106),0)),"")</f>
        <v/>
      </c>
      <c r="G106" s="6">
        <f>IFERROR(D106*$C$3,"")</f>
        <v/>
      </c>
      <c r="H106" s="6">
        <f>IFERROR(E106*$C$4,"")</f>
        <v/>
      </c>
      <c r="I106" s="6">
        <f>IFERROR(F106*$C$5,"")</f>
        <v/>
      </c>
    </row>
    <row r="107">
      <c r="A107" t="inlineStr">
        <is>
          <t>Imperdíveis Pizzas salgadas</t>
        </is>
      </c>
      <c r="B107" t="inlineStr">
        <is>
          <t>Pizza Brócolis 2</t>
        </is>
      </c>
      <c r="C107" t="inlineStr">
        <is>
          <t>Brotinho</t>
        </is>
      </c>
      <c r="D107" s="6">
        <f>IFERROR(INDEX(Comparativo!D:D,MATCH(1,(Comparativo!$B:$B=$B107)*(Comparativo!$C:$C=$C107),0)),"")</f>
        <v/>
      </c>
      <c r="E107" s="6">
        <f>IFERROR(INDEX(Comparativo!E:E,MATCH(1,(Comparativo!$B:$B=$B107)*(Comparativo!$C:$C=$C107),0)),"")</f>
        <v/>
      </c>
      <c r="F107" s="6">
        <f>IFERROR(INDEX(Comparativo!F:F,MATCH(1,(Comparativo!$B:$B=$B107)*(Comparativo!$C:$C=$C107),0)),"")</f>
        <v/>
      </c>
      <c r="G107" s="6">
        <f>IFERROR(D107*$C$3,"")</f>
        <v/>
      </c>
      <c r="H107" s="6">
        <f>IFERROR(E107*$C$4,"")</f>
        <v/>
      </c>
      <c r="I107" s="6">
        <f>IFERROR(F107*$C$5,"")</f>
        <v/>
      </c>
    </row>
    <row r="108">
      <c r="A108" t="inlineStr">
        <is>
          <t>Imperdíveis Pizzas salgadas</t>
        </is>
      </c>
      <c r="B108" t="inlineStr">
        <is>
          <t>Pizza Brócolis 2</t>
        </is>
      </c>
      <c r="C108" t="inlineStr">
        <is>
          <t>Grande</t>
        </is>
      </c>
      <c r="D108" s="6">
        <f>IFERROR(INDEX(Comparativo!D:D,MATCH(1,(Comparativo!$B:$B=$B108)*(Comparativo!$C:$C=$C108),0)),"")</f>
        <v/>
      </c>
      <c r="E108" s="6">
        <f>IFERROR(INDEX(Comparativo!E:E,MATCH(1,(Comparativo!$B:$B=$B108)*(Comparativo!$C:$C=$C108),0)),"")</f>
        <v/>
      </c>
      <c r="F108" s="6">
        <f>IFERROR(INDEX(Comparativo!F:F,MATCH(1,(Comparativo!$B:$B=$B108)*(Comparativo!$C:$C=$C108),0)),"")</f>
        <v/>
      </c>
      <c r="G108" s="6">
        <f>IFERROR(D108*$C$3,"")</f>
        <v/>
      </c>
      <c r="H108" s="6">
        <f>IFERROR(E108*$C$4,"")</f>
        <v/>
      </c>
      <c r="I108" s="6">
        <f>IFERROR(F108*$C$5,"")</f>
        <v/>
      </c>
    </row>
    <row r="109">
      <c r="A109" t="inlineStr">
        <is>
          <t>Imperdíveis Pizzas salgadas</t>
        </is>
      </c>
      <c r="B109" t="inlineStr">
        <is>
          <t>Pizza Brócolis</t>
        </is>
      </c>
      <c r="C109" t="inlineStr">
        <is>
          <t>Brotinho</t>
        </is>
      </c>
      <c r="D109" s="6">
        <f>IFERROR(INDEX(Comparativo!D:D,MATCH(1,(Comparativo!$B:$B=$B109)*(Comparativo!$C:$C=$C109),0)),"")</f>
        <v/>
      </c>
      <c r="E109" s="6">
        <f>IFERROR(INDEX(Comparativo!E:E,MATCH(1,(Comparativo!$B:$B=$B109)*(Comparativo!$C:$C=$C109),0)),"")</f>
        <v/>
      </c>
      <c r="F109" s="6">
        <f>IFERROR(INDEX(Comparativo!F:F,MATCH(1,(Comparativo!$B:$B=$B109)*(Comparativo!$C:$C=$C109),0)),"")</f>
        <v/>
      </c>
      <c r="G109" s="6">
        <f>IFERROR(D109*$C$3,"")</f>
        <v/>
      </c>
      <c r="H109" s="6">
        <f>IFERROR(E109*$C$4,"")</f>
        <v/>
      </c>
      <c r="I109" s="6">
        <f>IFERROR(F109*$C$5,"")</f>
        <v/>
      </c>
    </row>
    <row r="110">
      <c r="A110" t="inlineStr">
        <is>
          <t>Imperdíveis Pizzas salgadas</t>
        </is>
      </c>
      <c r="B110" t="inlineStr">
        <is>
          <t>Pizza Brócolis</t>
        </is>
      </c>
      <c r="C110" t="inlineStr">
        <is>
          <t>Grande</t>
        </is>
      </c>
      <c r="D110" s="6">
        <f>IFERROR(INDEX(Comparativo!D:D,MATCH(1,(Comparativo!$B:$B=$B110)*(Comparativo!$C:$C=$C110),0)),"")</f>
        <v/>
      </c>
      <c r="E110" s="6">
        <f>IFERROR(INDEX(Comparativo!E:E,MATCH(1,(Comparativo!$B:$B=$B110)*(Comparativo!$C:$C=$C110),0)),"")</f>
        <v/>
      </c>
      <c r="F110" s="6">
        <f>IFERROR(INDEX(Comparativo!F:F,MATCH(1,(Comparativo!$B:$B=$B110)*(Comparativo!$C:$C=$C110),0)),"")</f>
        <v/>
      </c>
      <c r="G110" s="6">
        <f>IFERROR(D110*$C$3,"")</f>
        <v/>
      </c>
      <c r="H110" s="6">
        <f>IFERROR(E110*$C$4,"")</f>
        <v/>
      </c>
      <c r="I110" s="6">
        <f>IFERROR(F110*$C$5,"")</f>
        <v/>
      </c>
    </row>
    <row r="111">
      <c r="A111" t="inlineStr">
        <is>
          <t>Imperdíveis Pizzas salgadas</t>
        </is>
      </c>
      <c r="B111" t="inlineStr">
        <is>
          <t>Pizza Berinjela</t>
        </is>
      </c>
      <c r="C111" t="inlineStr">
        <is>
          <t>Brotinho</t>
        </is>
      </c>
      <c r="D111" s="6">
        <f>IFERROR(INDEX(Comparativo!D:D,MATCH(1,(Comparativo!$B:$B=$B111)*(Comparativo!$C:$C=$C111),0)),"")</f>
        <v/>
      </c>
      <c r="E111" s="6">
        <f>IFERROR(INDEX(Comparativo!E:E,MATCH(1,(Comparativo!$B:$B=$B111)*(Comparativo!$C:$C=$C111),0)),"")</f>
        <v/>
      </c>
      <c r="F111" s="6">
        <f>IFERROR(INDEX(Comparativo!F:F,MATCH(1,(Comparativo!$B:$B=$B111)*(Comparativo!$C:$C=$C111),0)),"")</f>
        <v/>
      </c>
      <c r="G111" s="6">
        <f>IFERROR(D111*$C$3,"")</f>
        <v/>
      </c>
      <c r="H111" s="6">
        <f>IFERROR(E111*$C$4,"")</f>
        <v/>
      </c>
      <c r="I111" s="6">
        <f>IFERROR(F111*$C$5,"")</f>
        <v/>
      </c>
    </row>
    <row r="112">
      <c r="A112" t="inlineStr">
        <is>
          <t>Imperdíveis Pizzas salgadas</t>
        </is>
      </c>
      <c r="B112" t="inlineStr">
        <is>
          <t>Pizza Berinjela</t>
        </is>
      </c>
      <c r="C112" t="inlineStr">
        <is>
          <t>Grande</t>
        </is>
      </c>
      <c r="D112" s="6">
        <f>IFERROR(INDEX(Comparativo!D:D,MATCH(1,(Comparativo!$B:$B=$B112)*(Comparativo!$C:$C=$C112),0)),"")</f>
        <v/>
      </c>
      <c r="E112" s="6">
        <f>IFERROR(INDEX(Comparativo!E:E,MATCH(1,(Comparativo!$B:$B=$B112)*(Comparativo!$C:$C=$C112),0)),"")</f>
        <v/>
      </c>
      <c r="F112" s="6">
        <f>IFERROR(INDEX(Comparativo!F:F,MATCH(1,(Comparativo!$B:$B=$B112)*(Comparativo!$C:$C=$C112),0)),"")</f>
        <v/>
      </c>
      <c r="G112" s="6">
        <f>IFERROR(D112*$C$3,"")</f>
        <v/>
      </c>
      <c r="H112" s="6">
        <f>IFERROR(E112*$C$4,"")</f>
        <v/>
      </c>
      <c r="I112" s="6">
        <f>IFERROR(F112*$C$5,"")</f>
        <v/>
      </c>
    </row>
    <row r="113">
      <c r="A113" t="inlineStr">
        <is>
          <t>Imperdíveis Pizzas salgadas</t>
        </is>
      </c>
      <c r="B113" t="inlineStr">
        <is>
          <t>Pizza Baiana</t>
        </is>
      </c>
      <c r="C113" t="inlineStr">
        <is>
          <t>Brotinho</t>
        </is>
      </c>
      <c r="D113" s="6">
        <f>IFERROR(INDEX(Comparativo!D:D,MATCH(1,(Comparativo!$B:$B=$B113)*(Comparativo!$C:$C=$C113),0)),"")</f>
        <v/>
      </c>
      <c r="E113" s="6">
        <f>IFERROR(INDEX(Comparativo!E:E,MATCH(1,(Comparativo!$B:$B=$B113)*(Comparativo!$C:$C=$C113),0)),"")</f>
        <v/>
      </c>
      <c r="F113" s="6">
        <f>IFERROR(INDEX(Comparativo!F:F,MATCH(1,(Comparativo!$B:$B=$B113)*(Comparativo!$C:$C=$C113),0)),"")</f>
        <v/>
      </c>
      <c r="G113" s="6">
        <f>IFERROR(D113*$C$3,"")</f>
        <v/>
      </c>
      <c r="H113" s="6">
        <f>IFERROR(E113*$C$4,"")</f>
        <v/>
      </c>
      <c r="I113" s="6">
        <f>IFERROR(F113*$C$5,"")</f>
        <v/>
      </c>
    </row>
    <row r="114">
      <c r="A114" t="inlineStr">
        <is>
          <t>Imperdíveis Pizzas salgadas</t>
        </is>
      </c>
      <c r="B114" t="inlineStr">
        <is>
          <t>Pizza Baiana</t>
        </is>
      </c>
      <c r="C114" t="inlineStr">
        <is>
          <t>Grande</t>
        </is>
      </c>
      <c r="D114" s="6">
        <f>IFERROR(INDEX(Comparativo!D:D,MATCH(1,(Comparativo!$B:$B=$B114)*(Comparativo!$C:$C=$C114),0)),"")</f>
        <v/>
      </c>
      <c r="E114" s="6">
        <f>IFERROR(INDEX(Comparativo!E:E,MATCH(1,(Comparativo!$B:$B=$B114)*(Comparativo!$C:$C=$C114),0)),"")</f>
        <v/>
      </c>
      <c r="F114" s="6">
        <f>IFERROR(INDEX(Comparativo!F:F,MATCH(1,(Comparativo!$B:$B=$B114)*(Comparativo!$C:$C=$C114),0)),"")</f>
        <v/>
      </c>
      <c r="G114" s="6">
        <f>IFERROR(D114*$C$3,"")</f>
        <v/>
      </c>
      <c r="H114" s="6">
        <f>IFERROR(E114*$C$4,"")</f>
        <v/>
      </c>
      <c r="I114" s="6">
        <f>IFERROR(F114*$C$5,"")</f>
        <v/>
      </c>
    </row>
    <row r="115">
      <c r="A115" t="inlineStr">
        <is>
          <t>Imperdíveis Pizzas salgadas</t>
        </is>
      </c>
      <c r="B115" t="inlineStr">
        <is>
          <t>Pizza Bacon</t>
        </is>
      </c>
      <c r="C115" t="inlineStr">
        <is>
          <t>Brotinho</t>
        </is>
      </c>
      <c r="D115" s="6">
        <f>IFERROR(INDEX(Comparativo!D:D,MATCH(1,(Comparativo!$B:$B=$B115)*(Comparativo!$C:$C=$C115),0)),"")</f>
        <v/>
      </c>
      <c r="E115" s="6">
        <f>IFERROR(INDEX(Comparativo!E:E,MATCH(1,(Comparativo!$B:$B=$B115)*(Comparativo!$C:$C=$C115),0)),"")</f>
        <v/>
      </c>
      <c r="F115" s="6">
        <f>IFERROR(INDEX(Comparativo!F:F,MATCH(1,(Comparativo!$B:$B=$B115)*(Comparativo!$C:$C=$C115),0)),"")</f>
        <v/>
      </c>
      <c r="G115" s="6">
        <f>IFERROR(D115*$C$3,"")</f>
        <v/>
      </c>
      <c r="H115" s="6">
        <f>IFERROR(E115*$C$4,"")</f>
        <v/>
      </c>
      <c r="I115" s="6">
        <f>IFERROR(F115*$C$5,"")</f>
        <v/>
      </c>
    </row>
    <row r="116">
      <c r="A116" t="inlineStr">
        <is>
          <t>Imperdíveis Pizzas salgadas</t>
        </is>
      </c>
      <c r="B116" t="inlineStr">
        <is>
          <t>Pizza Bacon</t>
        </is>
      </c>
      <c r="C116" t="inlineStr">
        <is>
          <t>Grande</t>
        </is>
      </c>
      <c r="D116" s="6">
        <f>IFERROR(INDEX(Comparativo!D:D,MATCH(1,(Comparativo!$B:$B=$B116)*(Comparativo!$C:$C=$C116),0)),"")</f>
        <v/>
      </c>
      <c r="E116" s="6">
        <f>IFERROR(INDEX(Comparativo!E:E,MATCH(1,(Comparativo!$B:$B=$B116)*(Comparativo!$C:$C=$C116),0)),"")</f>
        <v/>
      </c>
      <c r="F116" s="6">
        <f>IFERROR(INDEX(Comparativo!F:F,MATCH(1,(Comparativo!$B:$B=$B116)*(Comparativo!$C:$C=$C116),0)),"")</f>
        <v/>
      </c>
      <c r="G116" s="6">
        <f>IFERROR(D116*$C$3,"")</f>
        <v/>
      </c>
      <c r="H116" s="6">
        <f>IFERROR(E116*$C$4,"")</f>
        <v/>
      </c>
      <c r="I116" s="6">
        <f>IFERROR(F116*$C$5,"")</f>
        <v/>
      </c>
    </row>
    <row r="117">
      <c r="A117" t="inlineStr">
        <is>
          <t>Imperdíveis Pizzas salgadas</t>
        </is>
      </c>
      <c r="B117" t="inlineStr">
        <is>
          <t>Atum Especial</t>
        </is>
      </c>
      <c r="C117" t="inlineStr">
        <is>
          <t>Brotinho</t>
        </is>
      </c>
      <c r="D117" s="6">
        <f>IFERROR(INDEX(Comparativo!D:D,MATCH(1,(Comparativo!$B:$B=$B117)*(Comparativo!$C:$C=$C117),0)),"")</f>
        <v/>
      </c>
      <c r="E117" s="6">
        <f>IFERROR(INDEX(Comparativo!E:E,MATCH(1,(Comparativo!$B:$B=$B117)*(Comparativo!$C:$C=$C117),0)),"")</f>
        <v/>
      </c>
      <c r="F117" s="6">
        <f>IFERROR(INDEX(Comparativo!F:F,MATCH(1,(Comparativo!$B:$B=$B117)*(Comparativo!$C:$C=$C117),0)),"")</f>
        <v/>
      </c>
      <c r="G117" s="6">
        <f>IFERROR(D117*$C$3,"")</f>
        <v/>
      </c>
      <c r="H117" s="6">
        <f>IFERROR(E117*$C$4,"")</f>
        <v/>
      </c>
      <c r="I117" s="6">
        <f>IFERROR(F117*$C$5,"")</f>
        <v/>
      </c>
    </row>
    <row r="118">
      <c r="A118" t="inlineStr">
        <is>
          <t>Imperdíveis Pizzas salgadas</t>
        </is>
      </c>
      <c r="B118" t="inlineStr">
        <is>
          <t>Atum Especial</t>
        </is>
      </c>
      <c r="C118" t="inlineStr">
        <is>
          <t>Grande</t>
        </is>
      </c>
      <c r="D118" s="6">
        <f>IFERROR(INDEX(Comparativo!D:D,MATCH(1,(Comparativo!$B:$B=$B118)*(Comparativo!$C:$C=$C118),0)),"")</f>
        <v/>
      </c>
      <c r="E118" s="6">
        <f>IFERROR(INDEX(Comparativo!E:E,MATCH(1,(Comparativo!$B:$B=$B118)*(Comparativo!$C:$C=$C118),0)),"")</f>
        <v/>
      </c>
      <c r="F118" s="6">
        <f>IFERROR(INDEX(Comparativo!F:F,MATCH(1,(Comparativo!$B:$B=$B118)*(Comparativo!$C:$C=$C118),0)),"")</f>
        <v/>
      </c>
      <c r="G118" s="6">
        <f>IFERROR(D118*$C$3,"")</f>
        <v/>
      </c>
      <c r="H118" s="6">
        <f>IFERROR(E118*$C$4,"")</f>
        <v/>
      </c>
      <c r="I118" s="6">
        <f>IFERROR(F118*$C$5,"")</f>
        <v/>
      </c>
    </row>
    <row r="119">
      <c r="A119" t="inlineStr">
        <is>
          <t>Imperdíveis Pizzas salgadas</t>
        </is>
      </c>
      <c r="B119" t="inlineStr">
        <is>
          <t>Pizza Artes Da Pizza</t>
        </is>
      </c>
      <c r="C119" t="inlineStr">
        <is>
          <t>Brotinho</t>
        </is>
      </c>
      <c r="D119" s="6">
        <f>IFERROR(INDEX(Comparativo!D:D,MATCH(1,(Comparativo!$B:$B=$B119)*(Comparativo!$C:$C=$C119),0)),"")</f>
        <v/>
      </c>
      <c r="E119" s="6">
        <f>IFERROR(INDEX(Comparativo!E:E,MATCH(1,(Comparativo!$B:$B=$B119)*(Comparativo!$C:$C=$C119),0)),"")</f>
        <v/>
      </c>
      <c r="F119" s="6">
        <f>IFERROR(INDEX(Comparativo!F:F,MATCH(1,(Comparativo!$B:$B=$B119)*(Comparativo!$C:$C=$C119),0)),"")</f>
        <v/>
      </c>
      <c r="G119" s="6">
        <f>IFERROR(D119*$C$3,"")</f>
        <v/>
      </c>
      <c r="H119" s="6">
        <f>IFERROR(E119*$C$4,"")</f>
        <v/>
      </c>
      <c r="I119" s="6">
        <f>IFERROR(F119*$C$5,"")</f>
        <v/>
      </c>
    </row>
    <row r="120">
      <c r="A120" t="inlineStr">
        <is>
          <t>Imperdíveis Pizzas salgadas</t>
        </is>
      </c>
      <c r="B120" t="inlineStr">
        <is>
          <t>Pizza Artes Da Pizza</t>
        </is>
      </c>
      <c r="C120" t="inlineStr">
        <is>
          <t>Grande</t>
        </is>
      </c>
      <c r="D120" s="6">
        <f>IFERROR(INDEX(Comparativo!D:D,MATCH(1,(Comparativo!$B:$B=$B120)*(Comparativo!$C:$C=$C120),0)),"")</f>
        <v/>
      </c>
      <c r="E120" s="6">
        <f>IFERROR(INDEX(Comparativo!E:E,MATCH(1,(Comparativo!$B:$B=$B120)*(Comparativo!$C:$C=$C120),0)),"")</f>
        <v/>
      </c>
      <c r="F120" s="6">
        <f>IFERROR(INDEX(Comparativo!F:F,MATCH(1,(Comparativo!$B:$B=$B120)*(Comparativo!$C:$C=$C120),0)),"")</f>
        <v/>
      </c>
      <c r="G120" s="6">
        <f>IFERROR(D120*$C$3,"")</f>
        <v/>
      </c>
      <c r="H120" s="6">
        <f>IFERROR(E120*$C$4,"")</f>
        <v/>
      </c>
      <c r="I120" s="6">
        <f>IFERROR(F120*$C$5,"")</f>
        <v/>
      </c>
    </row>
    <row r="121">
      <c r="A121" t="inlineStr">
        <is>
          <t>Imperdíveis Pizzas salgadas</t>
        </is>
      </c>
      <c r="B121" t="inlineStr">
        <is>
          <t>Pizza Atum</t>
        </is>
      </c>
      <c r="C121" t="inlineStr">
        <is>
          <t>Brotinho</t>
        </is>
      </c>
      <c r="D121" s="6">
        <f>IFERROR(INDEX(Comparativo!D:D,MATCH(1,(Comparativo!$B:$B=$B121)*(Comparativo!$C:$C=$C121),0)),"")</f>
        <v/>
      </c>
      <c r="E121" s="6">
        <f>IFERROR(INDEX(Comparativo!E:E,MATCH(1,(Comparativo!$B:$B=$B121)*(Comparativo!$C:$C=$C121),0)),"")</f>
        <v/>
      </c>
      <c r="F121" s="6">
        <f>IFERROR(INDEX(Comparativo!F:F,MATCH(1,(Comparativo!$B:$B=$B121)*(Comparativo!$C:$C=$C121),0)),"")</f>
        <v/>
      </c>
      <c r="G121" s="6">
        <f>IFERROR(D121*$C$3,"")</f>
        <v/>
      </c>
      <c r="H121" s="6">
        <f>IFERROR(E121*$C$4,"")</f>
        <v/>
      </c>
      <c r="I121" s="6">
        <f>IFERROR(F121*$C$5,"")</f>
        <v/>
      </c>
    </row>
    <row r="122">
      <c r="A122" t="inlineStr">
        <is>
          <t>Imperdíveis Pizzas salgadas</t>
        </is>
      </c>
      <c r="B122" t="inlineStr">
        <is>
          <t>Pizza Atum</t>
        </is>
      </c>
      <c r="C122" t="inlineStr">
        <is>
          <t>Grande</t>
        </is>
      </c>
      <c r="D122" s="6">
        <f>IFERROR(INDEX(Comparativo!D:D,MATCH(1,(Comparativo!$B:$B=$B122)*(Comparativo!$C:$C=$C122),0)),"")</f>
        <v/>
      </c>
      <c r="E122" s="6">
        <f>IFERROR(INDEX(Comparativo!E:E,MATCH(1,(Comparativo!$B:$B=$B122)*(Comparativo!$C:$C=$C122),0)),"")</f>
        <v/>
      </c>
      <c r="F122" s="6">
        <f>IFERROR(INDEX(Comparativo!F:F,MATCH(1,(Comparativo!$B:$B=$B122)*(Comparativo!$C:$C=$C122),0)),"")</f>
        <v/>
      </c>
      <c r="G122" s="6">
        <f>IFERROR(D122*$C$3,"")</f>
        <v/>
      </c>
      <c r="H122" s="6">
        <f>IFERROR(E122*$C$4,"")</f>
        <v/>
      </c>
      <c r="I122" s="6">
        <f>IFERROR(F122*$C$5,"")</f>
        <v/>
      </c>
    </row>
    <row r="123">
      <c r="A123" t="inlineStr">
        <is>
          <t>Imperdíveis Pizzas salgadas</t>
        </is>
      </c>
      <c r="B123" t="inlineStr">
        <is>
          <t>Pizza Americana</t>
        </is>
      </c>
      <c r="C123" t="inlineStr">
        <is>
          <t>Brotinho</t>
        </is>
      </c>
      <c r="D123" s="6">
        <f>IFERROR(INDEX(Comparativo!D:D,MATCH(1,(Comparativo!$B:$B=$B123)*(Comparativo!$C:$C=$C123),0)),"")</f>
        <v/>
      </c>
      <c r="E123" s="6">
        <f>IFERROR(INDEX(Comparativo!E:E,MATCH(1,(Comparativo!$B:$B=$B123)*(Comparativo!$C:$C=$C123),0)),"")</f>
        <v/>
      </c>
      <c r="F123" s="6">
        <f>IFERROR(INDEX(Comparativo!F:F,MATCH(1,(Comparativo!$B:$B=$B123)*(Comparativo!$C:$C=$C123),0)),"")</f>
        <v/>
      </c>
      <c r="G123" s="6">
        <f>IFERROR(D123*$C$3,"")</f>
        <v/>
      </c>
      <c r="H123" s="6">
        <f>IFERROR(E123*$C$4,"")</f>
        <v/>
      </c>
      <c r="I123" s="6">
        <f>IFERROR(F123*$C$5,"")</f>
        <v/>
      </c>
    </row>
    <row r="124">
      <c r="A124" t="inlineStr">
        <is>
          <t>Imperdíveis Pizzas salgadas</t>
        </is>
      </c>
      <c r="B124" t="inlineStr">
        <is>
          <t>Pizza Americana</t>
        </is>
      </c>
      <c r="C124" t="inlineStr">
        <is>
          <t>Grande</t>
        </is>
      </c>
      <c r="D124" s="6">
        <f>IFERROR(INDEX(Comparativo!D:D,MATCH(1,(Comparativo!$B:$B=$B124)*(Comparativo!$C:$C=$C124),0)),"")</f>
        <v/>
      </c>
      <c r="E124" s="6">
        <f>IFERROR(INDEX(Comparativo!E:E,MATCH(1,(Comparativo!$B:$B=$B124)*(Comparativo!$C:$C=$C124),0)),"")</f>
        <v/>
      </c>
      <c r="F124" s="6">
        <f>IFERROR(INDEX(Comparativo!F:F,MATCH(1,(Comparativo!$B:$B=$B124)*(Comparativo!$C:$C=$C124),0)),"")</f>
        <v/>
      </c>
      <c r="G124" s="6">
        <f>IFERROR(D124*$C$3,"")</f>
        <v/>
      </c>
      <c r="H124" s="6">
        <f>IFERROR(E124*$C$4,"")</f>
        <v/>
      </c>
      <c r="I124" s="6">
        <f>IFERROR(F124*$C$5,"")</f>
        <v/>
      </c>
    </row>
    <row r="125">
      <c r="A125" t="inlineStr">
        <is>
          <t>Imperdíveis Pizzas salgadas</t>
        </is>
      </c>
      <c r="B125" t="inlineStr">
        <is>
          <t>Pizza Aliche Importado</t>
        </is>
      </c>
      <c r="C125" t="inlineStr">
        <is>
          <t>Brotinho</t>
        </is>
      </c>
      <c r="D125" s="6">
        <f>IFERROR(INDEX(Comparativo!D:D,MATCH(1,(Comparativo!$B:$B=$B125)*(Comparativo!$C:$C=$C125),0)),"")</f>
        <v/>
      </c>
      <c r="E125" s="6">
        <f>IFERROR(INDEX(Comparativo!E:E,MATCH(1,(Comparativo!$B:$B=$B125)*(Comparativo!$C:$C=$C125),0)),"")</f>
        <v/>
      </c>
      <c r="F125" s="6">
        <f>IFERROR(INDEX(Comparativo!F:F,MATCH(1,(Comparativo!$B:$B=$B125)*(Comparativo!$C:$C=$C125),0)),"")</f>
        <v/>
      </c>
      <c r="G125" s="6">
        <f>IFERROR(D125*$C$3,"")</f>
        <v/>
      </c>
      <c r="H125" s="6">
        <f>IFERROR(E125*$C$4,"")</f>
        <v/>
      </c>
      <c r="I125" s="6">
        <f>IFERROR(F125*$C$5,"")</f>
        <v/>
      </c>
    </row>
    <row r="126">
      <c r="A126" t="inlineStr">
        <is>
          <t>Imperdíveis Pizzas salgadas</t>
        </is>
      </c>
      <c r="B126" t="inlineStr">
        <is>
          <t>Pizza Aliche Importado</t>
        </is>
      </c>
      <c r="C126" t="inlineStr">
        <is>
          <t>Grande</t>
        </is>
      </c>
      <c r="D126" s="6">
        <f>IFERROR(INDEX(Comparativo!D:D,MATCH(1,(Comparativo!$B:$B=$B126)*(Comparativo!$C:$C=$C126),0)),"")</f>
        <v/>
      </c>
      <c r="E126" s="6">
        <f>IFERROR(INDEX(Comparativo!E:E,MATCH(1,(Comparativo!$B:$B=$B126)*(Comparativo!$C:$C=$C126),0)),"")</f>
        <v/>
      </c>
      <c r="F126" s="6">
        <f>IFERROR(INDEX(Comparativo!F:F,MATCH(1,(Comparativo!$B:$B=$B126)*(Comparativo!$C:$C=$C126),0)),"")</f>
        <v/>
      </c>
      <c r="G126" s="6">
        <f>IFERROR(D126*$C$3,"")</f>
        <v/>
      </c>
      <c r="H126" s="6">
        <f>IFERROR(E126*$C$4,"")</f>
        <v/>
      </c>
      <c r="I126" s="6">
        <f>IFERROR(F126*$C$5,"")</f>
        <v/>
      </c>
    </row>
    <row r="127">
      <c r="A127" t="inlineStr">
        <is>
          <t>Imperdíveis Pizzas salgadas</t>
        </is>
      </c>
      <c r="B127" t="inlineStr">
        <is>
          <t>Pizza Alho Poró</t>
        </is>
      </c>
      <c r="C127" t="inlineStr">
        <is>
          <t>Brotinho</t>
        </is>
      </c>
      <c r="D127" s="6">
        <f>IFERROR(INDEX(Comparativo!D:D,MATCH(1,(Comparativo!$B:$B=$B127)*(Comparativo!$C:$C=$C127),0)),"")</f>
        <v/>
      </c>
      <c r="E127" s="6">
        <f>IFERROR(INDEX(Comparativo!E:E,MATCH(1,(Comparativo!$B:$B=$B127)*(Comparativo!$C:$C=$C127),0)),"")</f>
        <v/>
      </c>
      <c r="F127" s="6">
        <f>IFERROR(INDEX(Comparativo!F:F,MATCH(1,(Comparativo!$B:$B=$B127)*(Comparativo!$C:$C=$C127),0)),"")</f>
        <v/>
      </c>
      <c r="G127" s="6">
        <f>IFERROR(D127*$C$3,"")</f>
        <v/>
      </c>
      <c r="H127" s="6">
        <f>IFERROR(E127*$C$4,"")</f>
        <v/>
      </c>
      <c r="I127" s="6">
        <f>IFERROR(F127*$C$5,"")</f>
        <v/>
      </c>
    </row>
    <row r="128">
      <c r="A128" t="inlineStr">
        <is>
          <t>Imperdíveis Pizzas salgadas</t>
        </is>
      </c>
      <c r="B128" t="inlineStr">
        <is>
          <t>Pizza Alho Poró</t>
        </is>
      </c>
      <c r="C128" t="inlineStr">
        <is>
          <t>Grande</t>
        </is>
      </c>
      <c r="D128" s="6">
        <f>IFERROR(INDEX(Comparativo!D:D,MATCH(1,(Comparativo!$B:$B=$B128)*(Comparativo!$C:$C=$C128),0)),"")</f>
        <v/>
      </c>
      <c r="E128" s="6">
        <f>IFERROR(INDEX(Comparativo!E:E,MATCH(1,(Comparativo!$B:$B=$B128)*(Comparativo!$C:$C=$C128),0)),"")</f>
        <v/>
      </c>
      <c r="F128" s="6">
        <f>IFERROR(INDEX(Comparativo!F:F,MATCH(1,(Comparativo!$B:$B=$B128)*(Comparativo!$C:$C=$C128),0)),"")</f>
        <v/>
      </c>
      <c r="G128" s="6">
        <f>IFERROR(D128*$C$3,"")</f>
        <v/>
      </c>
      <c r="H128" s="6">
        <f>IFERROR(E128*$C$4,"")</f>
        <v/>
      </c>
      <c r="I128" s="6">
        <f>IFERROR(F128*$C$5,"")</f>
        <v/>
      </c>
    </row>
    <row r="129">
      <c r="A129" t="inlineStr">
        <is>
          <t>Imperdíveis Pizzas salgadas</t>
        </is>
      </c>
      <c r="B129" t="inlineStr">
        <is>
          <t>Pizza Alho</t>
        </is>
      </c>
      <c r="C129" t="inlineStr">
        <is>
          <t>Brotinho</t>
        </is>
      </c>
      <c r="D129" s="6">
        <f>IFERROR(INDEX(Comparativo!D:D,MATCH(1,(Comparativo!$B:$B=$B129)*(Comparativo!$C:$C=$C129),0)),"")</f>
        <v/>
      </c>
      <c r="E129" s="6">
        <f>IFERROR(INDEX(Comparativo!E:E,MATCH(1,(Comparativo!$B:$B=$B129)*(Comparativo!$C:$C=$C129),0)),"")</f>
        <v/>
      </c>
      <c r="F129" s="6">
        <f>IFERROR(INDEX(Comparativo!F:F,MATCH(1,(Comparativo!$B:$B=$B129)*(Comparativo!$C:$C=$C129),0)),"")</f>
        <v/>
      </c>
      <c r="G129" s="6">
        <f>IFERROR(D129*$C$3,"")</f>
        <v/>
      </c>
      <c r="H129" s="6">
        <f>IFERROR(E129*$C$4,"")</f>
        <v/>
      </c>
      <c r="I129" s="6">
        <f>IFERROR(F129*$C$5,"")</f>
        <v/>
      </c>
    </row>
    <row r="130">
      <c r="A130" t="inlineStr">
        <is>
          <t>Imperdíveis Pizzas salgadas</t>
        </is>
      </c>
      <c r="B130" t="inlineStr">
        <is>
          <t>Pizza Alho</t>
        </is>
      </c>
      <c r="C130" t="inlineStr">
        <is>
          <t>Grande</t>
        </is>
      </c>
      <c r="D130" s="6">
        <f>IFERROR(INDEX(Comparativo!D:D,MATCH(1,(Comparativo!$B:$B=$B130)*(Comparativo!$C:$C=$C130),0)),"")</f>
        <v/>
      </c>
      <c r="E130" s="6">
        <f>IFERROR(INDEX(Comparativo!E:E,MATCH(1,(Comparativo!$B:$B=$B130)*(Comparativo!$C:$C=$C130),0)),"")</f>
        <v/>
      </c>
      <c r="F130" s="6">
        <f>IFERROR(INDEX(Comparativo!F:F,MATCH(1,(Comparativo!$B:$B=$B130)*(Comparativo!$C:$C=$C130),0)),"")</f>
        <v/>
      </c>
      <c r="G130" s="6">
        <f>IFERROR(D130*$C$3,"")</f>
        <v/>
      </c>
      <c r="H130" s="6">
        <f>IFERROR(E130*$C$4,"")</f>
        <v/>
      </c>
      <c r="I130" s="6">
        <f>IFERROR(F130*$C$5,"")</f>
        <v/>
      </c>
    </row>
    <row r="131">
      <c r="A131" t="inlineStr">
        <is>
          <t>Imperdíveis Pizzas salgadas</t>
        </is>
      </c>
      <c r="B131" t="inlineStr">
        <is>
          <t>Pizza Alcachofra Especial</t>
        </is>
      </c>
      <c r="C131" t="inlineStr">
        <is>
          <t>Brotinho</t>
        </is>
      </c>
      <c r="D131" s="6">
        <f>IFERROR(INDEX(Comparativo!D:D,MATCH(1,(Comparativo!$B:$B=$B131)*(Comparativo!$C:$C=$C131),0)),"")</f>
        <v/>
      </c>
      <c r="E131" s="6">
        <f>IFERROR(INDEX(Comparativo!E:E,MATCH(1,(Comparativo!$B:$B=$B131)*(Comparativo!$C:$C=$C131),0)),"")</f>
        <v/>
      </c>
      <c r="F131" s="6">
        <f>IFERROR(INDEX(Comparativo!F:F,MATCH(1,(Comparativo!$B:$B=$B131)*(Comparativo!$C:$C=$C131),0)),"")</f>
        <v/>
      </c>
      <c r="G131" s="6">
        <f>IFERROR(D131*$C$3,"")</f>
        <v/>
      </c>
      <c r="H131" s="6">
        <f>IFERROR(E131*$C$4,"")</f>
        <v/>
      </c>
      <c r="I131" s="6">
        <f>IFERROR(F131*$C$5,"")</f>
        <v/>
      </c>
    </row>
    <row r="132">
      <c r="A132" t="inlineStr">
        <is>
          <t>Imperdíveis Pizzas salgadas</t>
        </is>
      </c>
      <c r="B132" t="inlineStr">
        <is>
          <t>Pizza Alcachofra Especial</t>
        </is>
      </c>
      <c r="C132" t="inlineStr">
        <is>
          <t>Grande</t>
        </is>
      </c>
      <c r="D132" s="6">
        <f>IFERROR(INDEX(Comparativo!D:D,MATCH(1,(Comparativo!$B:$B=$B132)*(Comparativo!$C:$C=$C132),0)),"")</f>
        <v/>
      </c>
      <c r="E132" s="6">
        <f>IFERROR(INDEX(Comparativo!E:E,MATCH(1,(Comparativo!$B:$B=$B132)*(Comparativo!$C:$C=$C132),0)),"")</f>
        <v/>
      </c>
      <c r="F132" s="6">
        <f>IFERROR(INDEX(Comparativo!F:F,MATCH(1,(Comparativo!$B:$B=$B132)*(Comparativo!$C:$C=$C132),0)),"")</f>
        <v/>
      </c>
      <c r="G132" s="6">
        <f>IFERROR(D132*$C$3,"")</f>
        <v/>
      </c>
      <c r="H132" s="6">
        <f>IFERROR(E132*$C$4,"")</f>
        <v/>
      </c>
      <c r="I132" s="6">
        <f>IFERROR(F132*$C$5,"")</f>
        <v/>
      </c>
    </row>
    <row r="133">
      <c r="A133" t="inlineStr">
        <is>
          <t>Imperdíveis Pizzas salgadas</t>
        </is>
      </c>
      <c r="B133" t="inlineStr">
        <is>
          <t>Pizza Alcachofra</t>
        </is>
      </c>
      <c r="C133" t="inlineStr">
        <is>
          <t>Brotinho</t>
        </is>
      </c>
      <c r="D133" s="6">
        <f>IFERROR(INDEX(Comparativo!D:D,MATCH(1,(Comparativo!$B:$B=$B133)*(Comparativo!$C:$C=$C133),0)),"")</f>
        <v/>
      </c>
      <c r="E133" s="6">
        <f>IFERROR(INDEX(Comparativo!E:E,MATCH(1,(Comparativo!$B:$B=$B133)*(Comparativo!$C:$C=$C133),0)),"")</f>
        <v/>
      </c>
      <c r="F133" s="6">
        <f>IFERROR(INDEX(Comparativo!F:F,MATCH(1,(Comparativo!$B:$B=$B133)*(Comparativo!$C:$C=$C133),0)),"")</f>
        <v/>
      </c>
      <c r="G133" s="6">
        <f>IFERROR(D133*$C$3,"")</f>
        <v/>
      </c>
      <c r="H133" s="6">
        <f>IFERROR(E133*$C$4,"")</f>
        <v/>
      </c>
      <c r="I133" s="6">
        <f>IFERROR(F133*$C$5,"")</f>
        <v/>
      </c>
    </row>
    <row r="134">
      <c r="A134" t="inlineStr">
        <is>
          <t>Imperdíveis Pizzas salgadas</t>
        </is>
      </c>
      <c r="B134" t="inlineStr">
        <is>
          <t>Pizza Alcachofra</t>
        </is>
      </c>
      <c r="C134" t="inlineStr">
        <is>
          <t>Grande</t>
        </is>
      </c>
      <c r="D134" s="6">
        <f>IFERROR(INDEX(Comparativo!D:D,MATCH(1,(Comparativo!$B:$B=$B134)*(Comparativo!$C:$C=$C134),0)),"")</f>
        <v/>
      </c>
      <c r="E134" s="6">
        <f>IFERROR(INDEX(Comparativo!E:E,MATCH(1,(Comparativo!$B:$B=$B134)*(Comparativo!$C:$C=$C134),0)),"")</f>
        <v/>
      </c>
      <c r="F134" s="6">
        <f>IFERROR(INDEX(Comparativo!F:F,MATCH(1,(Comparativo!$B:$B=$B134)*(Comparativo!$C:$C=$C134),0)),"")</f>
        <v/>
      </c>
      <c r="G134" s="6">
        <f>IFERROR(D134*$C$3,"")</f>
        <v/>
      </c>
      <c r="H134" s="6">
        <f>IFERROR(E134*$C$4,"")</f>
        <v/>
      </c>
      <c r="I134" s="6">
        <f>IFERROR(F134*$C$5,"")</f>
        <v/>
      </c>
    </row>
    <row r="135">
      <c r="A135" t="inlineStr">
        <is>
          <t>Imperdíveis Pizzas salgadas</t>
        </is>
      </c>
      <c r="B135" t="inlineStr">
        <is>
          <t>Pizza Aladinele</t>
        </is>
      </c>
      <c r="C135" t="inlineStr">
        <is>
          <t>Brotinho</t>
        </is>
      </c>
      <c r="D135" s="6">
        <f>IFERROR(INDEX(Comparativo!D:D,MATCH(1,(Comparativo!$B:$B=$B135)*(Comparativo!$C:$C=$C135),0)),"")</f>
        <v/>
      </c>
      <c r="E135" s="6">
        <f>IFERROR(INDEX(Comparativo!E:E,MATCH(1,(Comparativo!$B:$B=$B135)*(Comparativo!$C:$C=$C135),0)),"")</f>
        <v/>
      </c>
      <c r="F135" s="6">
        <f>IFERROR(INDEX(Comparativo!F:F,MATCH(1,(Comparativo!$B:$B=$B135)*(Comparativo!$C:$C=$C135),0)),"")</f>
        <v/>
      </c>
      <c r="G135" s="6">
        <f>IFERROR(D135*$C$3,"")</f>
        <v/>
      </c>
      <c r="H135" s="6">
        <f>IFERROR(E135*$C$4,"")</f>
        <v/>
      </c>
      <c r="I135" s="6">
        <f>IFERROR(F135*$C$5,"")</f>
        <v/>
      </c>
    </row>
    <row r="136">
      <c r="A136" t="inlineStr">
        <is>
          <t>Imperdíveis Pizzas salgadas</t>
        </is>
      </c>
      <c r="B136" t="inlineStr">
        <is>
          <t>Pizza Aladinele</t>
        </is>
      </c>
      <c r="C136" t="inlineStr">
        <is>
          <t>Grande</t>
        </is>
      </c>
      <c r="D136" s="6">
        <f>IFERROR(INDEX(Comparativo!D:D,MATCH(1,(Comparativo!$B:$B=$B136)*(Comparativo!$C:$C=$C136),0)),"")</f>
        <v/>
      </c>
      <c r="E136" s="6">
        <f>IFERROR(INDEX(Comparativo!E:E,MATCH(1,(Comparativo!$B:$B=$B136)*(Comparativo!$C:$C=$C136),0)),"")</f>
        <v/>
      </c>
      <c r="F136" s="6">
        <f>IFERROR(INDEX(Comparativo!F:F,MATCH(1,(Comparativo!$B:$B=$B136)*(Comparativo!$C:$C=$C136),0)),"")</f>
        <v/>
      </c>
      <c r="G136" s="6">
        <f>IFERROR(D136*$C$3,"")</f>
        <v/>
      </c>
      <c r="H136" s="6">
        <f>IFERROR(E136*$C$4,"")</f>
        <v/>
      </c>
      <c r="I136" s="6">
        <f>IFERROR(F136*$C$5,"")</f>
        <v/>
      </c>
    </row>
    <row r="137">
      <c r="A137" t="inlineStr">
        <is>
          <t>Imperdíveis Pizzas salgadas</t>
        </is>
      </c>
      <c r="B137" t="inlineStr">
        <is>
          <t>Pizza Abobrinha</t>
        </is>
      </c>
      <c r="C137" t="inlineStr">
        <is>
          <t>Brotinho</t>
        </is>
      </c>
      <c r="D137" s="6">
        <f>IFERROR(INDEX(Comparativo!D:D,MATCH(1,(Comparativo!$B:$B=$B137)*(Comparativo!$C:$C=$C137),0)),"")</f>
        <v/>
      </c>
      <c r="E137" s="6">
        <f>IFERROR(INDEX(Comparativo!E:E,MATCH(1,(Comparativo!$B:$B=$B137)*(Comparativo!$C:$C=$C137),0)),"")</f>
        <v/>
      </c>
      <c r="F137" s="6">
        <f>IFERROR(INDEX(Comparativo!F:F,MATCH(1,(Comparativo!$B:$B=$B137)*(Comparativo!$C:$C=$C137),0)),"")</f>
        <v/>
      </c>
      <c r="G137" s="6">
        <f>IFERROR(D137*$C$3,"")</f>
        <v/>
      </c>
      <c r="H137" s="6">
        <f>IFERROR(E137*$C$4,"")</f>
        <v/>
      </c>
      <c r="I137" s="6">
        <f>IFERROR(F137*$C$5,"")</f>
        <v/>
      </c>
    </row>
    <row r="138">
      <c r="A138" t="inlineStr">
        <is>
          <t>Imperdíveis Pizzas salgadas</t>
        </is>
      </c>
      <c r="B138" t="inlineStr">
        <is>
          <t>Pizza Abobrinha</t>
        </is>
      </c>
      <c r="C138" t="inlineStr">
        <is>
          <t>Grande</t>
        </is>
      </c>
      <c r="D138" s="6">
        <f>IFERROR(INDEX(Comparativo!D:D,MATCH(1,(Comparativo!$B:$B=$B138)*(Comparativo!$C:$C=$C138),0)),"")</f>
        <v/>
      </c>
      <c r="E138" s="6">
        <f>IFERROR(INDEX(Comparativo!E:E,MATCH(1,(Comparativo!$B:$B=$B138)*(Comparativo!$C:$C=$C138),0)),"")</f>
        <v/>
      </c>
      <c r="F138" s="6">
        <f>IFERROR(INDEX(Comparativo!F:F,MATCH(1,(Comparativo!$B:$B=$B138)*(Comparativo!$C:$C=$C138),0)),"")</f>
        <v/>
      </c>
      <c r="G138" s="6">
        <f>IFERROR(D138*$C$3,"")</f>
        <v/>
      </c>
      <c r="H138" s="6">
        <f>IFERROR(E138*$C$4,"")</f>
        <v/>
      </c>
      <c r="I138" s="6">
        <f>IFERROR(F138*$C$5,"")</f>
        <v/>
      </c>
    </row>
    <row r="139">
      <c r="A139" t="inlineStr">
        <is>
          <t>Imperdíveis Pizzas salgadas</t>
        </is>
      </c>
      <c r="B139" t="inlineStr">
        <is>
          <t>Pizza À Moda Da Casa</t>
        </is>
      </c>
      <c r="C139" t="inlineStr">
        <is>
          <t>Brotinho</t>
        </is>
      </c>
      <c r="D139" s="6">
        <f>IFERROR(INDEX(Comparativo!D:D,MATCH(1,(Comparativo!$B:$B=$B139)*(Comparativo!$C:$C=$C139),0)),"")</f>
        <v/>
      </c>
      <c r="E139" s="6">
        <f>IFERROR(INDEX(Comparativo!E:E,MATCH(1,(Comparativo!$B:$B=$B139)*(Comparativo!$C:$C=$C139),0)),"")</f>
        <v/>
      </c>
      <c r="F139" s="6">
        <f>IFERROR(INDEX(Comparativo!F:F,MATCH(1,(Comparativo!$B:$B=$B139)*(Comparativo!$C:$C=$C139),0)),"")</f>
        <v/>
      </c>
      <c r="G139" s="6">
        <f>IFERROR(D139*$C$3,"")</f>
        <v/>
      </c>
      <c r="H139" s="6">
        <f>IFERROR(E139*$C$4,"")</f>
        <v/>
      </c>
      <c r="I139" s="6">
        <f>IFERROR(F139*$C$5,"")</f>
        <v/>
      </c>
    </row>
    <row r="140">
      <c r="A140" t="inlineStr">
        <is>
          <t>Imperdíveis Pizzas salgadas</t>
        </is>
      </c>
      <c r="B140" t="inlineStr">
        <is>
          <t>Pizza À Moda Da Casa</t>
        </is>
      </c>
      <c r="C140" t="inlineStr">
        <is>
          <t>Grande</t>
        </is>
      </c>
      <c r="D140" s="6">
        <f>IFERROR(INDEX(Comparativo!D:D,MATCH(1,(Comparativo!$B:$B=$B140)*(Comparativo!$C:$C=$C140),0)),"")</f>
        <v/>
      </c>
      <c r="E140" s="6">
        <f>IFERROR(INDEX(Comparativo!E:E,MATCH(1,(Comparativo!$B:$B=$B140)*(Comparativo!$C:$C=$C140),0)),"")</f>
        <v/>
      </c>
      <c r="F140" s="6">
        <f>IFERROR(INDEX(Comparativo!F:F,MATCH(1,(Comparativo!$B:$B=$B140)*(Comparativo!$C:$C=$C140),0)),"")</f>
        <v/>
      </c>
      <c r="G140" s="6">
        <f>IFERROR(D140*$C$3,"")</f>
        <v/>
      </c>
      <c r="H140" s="6">
        <f>IFERROR(E140*$C$4,"")</f>
        <v/>
      </c>
      <c r="I140" s="6">
        <f>IFERROR(F140*$C$5,"")</f>
        <v/>
      </c>
    </row>
    <row r="141">
      <c r="A141" t="inlineStr">
        <is>
          <t>Imperdíveis Pizzas salgadas</t>
        </is>
      </c>
      <c r="B141" t="inlineStr">
        <is>
          <t>Pizza 5 Queijos</t>
        </is>
      </c>
      <c r="C141" t="inlineStr">
        <is>
          <t>Brotinho</t>
        </is>
      </c>
      <c r="D141" s="6">
        <f>IFERROR(INDEX(Comparativo!D:D,MATCH(1,(Comparativo!$B:$B=$B141)*(Comparativo!$C:$C=$C141),0)),"")</f>
        <v/>
      </c>
      <c r="E141" s="6">
        <f>IFERROR(INDEX(Comparativo!E:E,MATCH(1,(Comparativo!$B:$B=$B141)*(Comparativo!$C:$C=$C141),0)),"")</f>
        <v/>
      </c>
      <c r="F141" s="6">
        <f>IFERROR(INDEX(Comparativo!F:F,MATCH(1,(Comparativo!$B:$B=$B141)*(Comparativo!$C:$C=$C141),0)),"")</f>
        <v/>
      </c>
      <c r="G141" s="6">
        <f>IFERROR(D141*$C$3,"")</f>
        <v/>
      </c>
      <c r="H141" s="6">
        <f>IFERROR(E141*$C$4,"")</f>
        <v/>
      </c>
      <c r="I141" s="6">
        <f>IFERROR(F141*$C$5,"")</f>
        <v/>
      </c>
    </row>
    <row r="142">
      <c r="A142" t="inlineStr">
        <is>
          <t>Imperdíveis Pizzas salgadas</t>
        </is>
      </c>
      <c r="B142" t="inlineStr">
        <is>
          <t>Pizza 5 Queijos</t>
        </is>
      </c>
      <c r="C142" t="inlineStr">
        <is>
          <t>Grande</t>
        </is>
      </c>
      <c r="D142" s="6">
        <f>IFERROR(INDEX(Comparativo!D:D,MATCH(1,(Comparativo!$B:$B=$B142)*(Comparativo!$C:$C=$C142),0)),"")</f>
        <v/>
      </c>
      <c r="E142" s="6">
        <f>IFERROR(INDEX(Comparativo!E:E,MATCH(1,(Comparativo!$B:$B=$B142)*(Comparativo!$C:$C=$C142),0)),"")</f>
        <v/>
      </c>
      <c r="F142" s="6">
        <f>IFERROR(INDEX(Comparativo!F:F,MATCH(1,(Comparativo!$B:$B=$B142)*(Comparativo!$C:$C=$C142),0)),"")</f>
        <v/>
      </c>
      <c r="G142" s="6">
        <f>IFERROR(D142*$C$3,"")</f>
        <v/>
      </c>
      <c r="H142" s="6">
        <f>IFERROR(E142*$C$4,"")</f>
        <v/>
      </c>
      <c r="I142" s="6">
        <f>IFERROR(F142*$C$5,"")</f>
        <v/>
      </c>
    </row>
    <row r="143">
      <c r="A143" t="inlineStr">
        <is>
          <t>Imperdíveis Pizzas salgadas</t>
        </is>
      </c>
      <c r="B143" t="inlineStr">
        <is>
          <t>Pizza 4 Queijos</t>
        </is>
      </c>
      <c r="C143" t="inlineStr">
        <is>
          <t>Brotinho</t>
        </is>
      </c>
      <c r="D143" s="6">
        <f>IFERROR(INDEX(Comparativo!D:D,MATCH(1,(Comparativo!$B:$B=$B143)*(Comparativo!$C:$C=$C143),0)),"")</f>
        <v/>
      </c>
      <c r="E143" s="6">
        <f>IFERROR(INDEX(Comparativo!E:E,MATCH(1,(Comparativo!$B:$B=$B143)*(Comparativo!$C:$C=$C143),0)),"")</f>
        <v/>
      </c>
      <c r="F143" s="6">
        <f>IFERROR(INDEX(Comparativo!F:F,MATCH(1,(Comparativo!$B:$B=$B143)*(Comparativo!$C:$C=$C143),0)),"")</f>
        <v/>
      </c>
      <c r="G143" s="6">
        <f>IFERROR(D143*$C$3,"")</f>
        <v/>
      </c>
      <c r="H143" s="6">
        <f>IFERROR(E143*$C$4,"")</f>
        <v/>
      </c>
      <c r="I143" s="6">
        <f>IFERROR(F143*$C$5,"")</f>
        <v/>
      </c>
    </row>
    <row r="144">
      <c r="A144" t="inlineStr">
        <is>
          <t>Imperdíveis Pizzas salgadas</t>
        </is>
      </c>
      <c r="B144" t="inlineStr">
        <is>
          <t>Pizza 4 Queijos</t>
        </is>
      </c>
      <c r="C144" t="inlineStr">
        <is>
          <t>Grande</t>
        </is>
      </c>
      <c r="D144" s="6">
        <f>IFERROR(INDEX(Comparativo!D:D,MATCH(1,(Comparativo!$B:$B=$B144)*(Comparativo!$C:$C=$C144),0)),"")</f>
        <v/>
      </c>
      <c r="E144" s="6">
        <f>IFERROR(INDEX(Comparativo!E:E,MATCH(1,(Comparativo!$B:$B=$B144)*(Comparativo!$C:$C=$C144),0)),"")</f>
        <v/>
      </c>
      <c r="F144" s="6">
        <f>IFERROR(INDEX(Comparativo!F:F,MATCH(1,(Comparativo!$B:$B=$B144)*(Comparativo!$C:$C=$C144),0)),"")</f>
        <v/>
      </c>
      <c r="G144" s="6">
        <f>IFERROR(D144*$C$3,"")</f>
        <v/>
      </c>
      <c r="H144" s="6">
        <f>IFERROR(E144*$C$4,"")</f>
        <v/>
      </c>
      <c r="I144" s="6">
        <f>IFERROR(F144*$C$5,"")</f>
        <v/>
      </c>
    </row>
    <row r="145">
      <c r="A145" t="inlineStr">
        <is>
          <t>Imperdíveis Pizzas salgadas</t>
        </is>
      </c>
      <c r="B145" t="inlineStr">
        <is>
          <t>Pizza 2 Queijos</t>
        </is>
      </c>
      <c r="C145" t="inlineStr">
        <is>
          <t>Brotinho</t>
        </is>
      </c>
      <c r="D145" s="6">
        <f>IFERROR(INDEX(Comparativo!D:D,MATCH(1,(Comparativo!$B:$B=$B145)*(Comparativo!$C:$C=$C145),0)),"")</f>
        <v/>
      </c>
      <c r="E145" s="6">
        <f>IFERROR(INDEX(Comparativo!E:E,MATCH(1,(Comparativo!$B:$B=$B145)*(Comparativo!$C:$C=$C145),0)),"")</f>
        <v/>
      </c>
      <c r="F145" s="6">
        <f>IFERROR(INDEX(Comparativo!F:F,MATCH(1,(Comparativo!$B:$B=$B145)*(Comparativo!$C:$C=$C145),0)),"")</f>
        <v/>
      </c>
      <c r="G145" s="6">
        <f>IFERROR(D145*$C$3,"")</f>
        <v/>
      </c>
      <c r="H145" s="6">
        <f>IFERROR(E145*$C$4,"")</f>
        <v/>
      </c>
      <c r="I145" s="6">
        <f>IFERROR(F145*$C$5,"")</f>
        <v/>
      </c>
    </row>
    <row r="146">
      <c r="A146" t="inlineStr">
        <is>
          <t>Imperdíveis Pizzas salgadas</t>
        </is>
      </c>
      <c r="B146" t="inlineStr">
        <is>
          <t>Pizza 2 Queijos</t>
        </is>
      </c>
      <c r="C146" t="inlineStr">
        <is>
          <t>Grande</t>
        </is>
      </c>
      <c r="D146" s="6">
        <f>IFERROR(INDEX(Comparativo!D:D,MATCH(1,(Comparativo!$B:$B=$B146)*(Comparativo!$C:$C=$C146),0)),"")</f>
        <v/>
      </c>
      <c r="E146" s="6">
        <f>IFERROR(INDEX(Comparativo!E:E,MATCH(1,(Comparativo!$B:$B=$B146)*(Comparativo!$C:$C=$C146),0)),"")</f>
        <v/>
      </c>
      <c r="F146" s="6">
        <f>IFERROR(INDEX(Comparativo!F:F,MATCH(1,(Comparativo!$B:$B=$B146)*(Comparativo!$C:$C=$C146),0)),"")</f>
        <v/>
      </c>
      <c r="G146" s="6">
        <f>IFERROR(D146*$C$3,"")</f>
        <v/>
      </c>
      <c r="H146" s="6">
        <f>IFERROR(E146*$C$4,"")</f>
        <v/>
      </c>
      <c r="I146" s="6">
        <f>IFERROR(F146*$C$5,"")</f>
        <v/>
      </c>
    </row>
    <row r="147">
      <c r="A147" t="inlineStr">
        <is>
          <t>As Queridinhas Pizzas Doces</t>
        </is>
      </c>
      <c r="B147" t="inlineStr">
        <is>
          <t>Chocolate com morango</t>
        </is>
      </c>
      <c r="C147" t="inlineStr">
        <is>
          <t>Brotinho</t>
        </is>
      </c>
      <c r="D147" s="6">
        <f>IFERROR(INDEX(Comparativo!D:D,MATCH(1,(Comparativo!$B:$B=$B147)*(Comparativo!$C:$C=$C147),0)),"")</f>
        <v/>
      </c>
      <c r="E147" s="6">
        <f>IFERROR(INDEX(Comparativo!E:E,MATCH(1,(Comparativo!$B:$B=$B147)*(Comparativo!$C:$C=$C147),0)),"")</f>
        <v/>
      </c>
      <c r="F147" s="6">
        <f>IFERROR(INDEX(Comparativo!F:F,MATCH(1,(Comparativo!$B:$B=$B147)*(Comparativo!$C:$C=$C147),0)),"")</f>
        <v/>
      </c>
      <c r="G147" s="6">
        <f>IFERROR(D147*$C$3,"")</f>
        <v/>
      </c>
      <c r="H147" s="6">
        <f>IFERROR(E147*$C$4,"")</f>
        <v/>
      </c>
      <c r="I147" s="6">
        <f>IFERROR(F147*$C$5,"")</f>
        <v/>
      </c>
    </row>
    <row r="148">
      <c r="A148" t="inlineStr">
        <is>
          <t>As Queridinhas Pizzas Doces</t>
        </is>
      </c>
      <c r="B148" t="inlineStr">
        <is>
          <t>Chocolate com morango</t>
        </is>
      </c>
      <c r="C148" t="inlineStr">
        <is>
          <t>Grande</t>
        </is>
      </c>
      <c r="D148" s="6">
        <f>IFERROR(INDEX(Comparativo!D:D,MATCH(1,(Comparativo!$B:$B=$B148)*(Comparativo!$C:$C=$C148),0)),"")</f>
        <v/>
      </c>
      <c r="E148" s="6">
        <f>IFERROR(INDEX(Comparativo!E:E,MATCH(1,(Comparativo!$B:$B=$B148)*(Comparativo!$C:$C=$C148),0)),"")</f>
        <v/>
      </c>
      <c r="F148" s="6">
        <f>IFERROR(INDEX(Comparativo!F:F,MATCH(1,(Comparativo!$B:$B=$B148)*(Comparativo!$C:$C=$C148),0)),"")</f>
        <v/>
      </c>
      <c r="G148" s="6">
        <f>IFERROR(D148*$C$3,"")</f>
        <v/>
      </c>
      <c r="H148" s="6">
        <f>IFERROR(E148*$C$4,"")</f>
        <v/>
      </c>
      <c r="I148" s="6">
        <f>IFERROR(F148*$C$5,"")</f>
        <v/>
      </c>
    </row>
    <row r="149">
      <c r="A149" t="inlineStr">
        <is>
          <t>As Queridinhas Pizzas Doces</t>
        </is>
      </c>
      <c r="B149" t="inlineStr">
        <is>
          <t>Pizza Romeu E Julieta</t>
        </is>
      </c>
      <c r="C149" t="inlineStr">
        <is>
          <t>Brotinho</t>
        </is>
      </c>
      <c r="D149" s="6">
        <f>IFERROR(INDEX(Comparativo!D:D,MATCH(1,(Comparativo!$B:$B=$B149)*(Comparativo!$C:$C=$C149),0)),"")</f>
        <v/>
      </c>
      <c r="E149" s="6">
        <f>IFERROR(INDEX(Comparativo!E:E,MATCH(1,(Comparativo!$B:$B=$B149)*(Comparativo!$C:$C=$C149),0)),"")</f>
        <v/>
      </c>
      <c r="F149" s="6">
        <f>IFERROR(INDEX(Comparativo!F:F,MATCH(1,(Comparativo!$B:$B=$B149)*(Comparativo!$C:$C=$C149),0)),"")</f>
        <v/>
      </c>
      <c r="G149" s="6">
        <f>IFERROR(D149*$C$3,"")</f>
        <v/>
      </c>
      <c r="H149" s="6">
        <f>IFERROR(E149*$C$4,"")</f>
        <v/>
      </c>
      <c r="I149" s="6">
        <f>IFERROR(F149*$C$5,"")</f>
        <v/>
      </c>
    </row>
    <row r="150">
      <c r="A150" t="inlineStr">
        <is>
          <t>As Queridinhas Pizzas Doces</t>
        </is>
      </c>
      <c r="B150" t="inlineStr">
        <is>
          <t>Pizza Romeu E Julieta</t>
        </is>
      </c>
      <c r="C150" t="inlineStr">
        <is>
          <t>Grande</t>
        </is>
      </c>
      <c r="D150" s="6">
        <f>IFERROR(INDEX(Comparativo!D:D,MATCH(1,(Comparativo!$B:$B=$B150)*(Comparativo!$C:$C=$C150),0)),"")</f>
        <v/>
      </c>
      <c r="E150" s="6">
        <f>IFERROR(INDEX(Comparativo!E:E,MATCH(1,(Comparativo!$B:$B=$B150)*(Comparativo!$C:$C=$C150),0)),"")</f>
        <v/>
      </c>
      <c r="F150" s="6">
        <f>IFERROR(INDEX(Comparativo!F:F,MATCH(1,(Comparativo!$B:$B=$B150)*(Comparativo!$C:$C=$C150),0)),"")</f>
        <v/>
      </c>
      <c r="G150" s="6">
        <f>IFERROR(D150*$C$3,"")</f>
        <v/>
      </c>
      <c r="H150" s="6">
        <f>IFERROR(E150*$C$4,"")</f>
        <v/>
      </c>
      <c r="I150" s="6">
        <f>IFERROR(F150*$C$5,"")</f>
        <v/>
      </c>
    </row>
    <row r="151">
      <c r="A151" t="inlineStr">
        <is>
          <t>As Queridinhas Pizzas Doces</t>
        </is>
      </c>
      <c r="B151" t="inlineStr">
        <is>
          <t>Pizza Brigadeiro</t>
        </is>
      </c>
      <c r="C151" t="inlineStr">
        <is>
          <t>Brotinho</t>
        </is>
      </c>
      <c r="D151" s="6">
        <f>IFERROR(INDEX(Comparativo!D:D,MATCH(1,(Comparativo!$B:$B=$B151)*(Comparativo!$C:$C=$C151),0)),"")</f>
        <v/>
      </c>
      <c r="E151" s="6">
        <f>IFERROR(INDEX(Comparativo!E:E,MATCH(1,(Comparativo!$B:$B=$B151)*(Comparativo!$C:$C=$C151),0)),"")</f>
        <v/>
      </c>
      <c r="F151" s="6">
        <f>IFERROR(INDEX(Comparativo!F:F,MATCH(1,(Comparativo!$B:$B=$B151)*(Comparativo!$C:$C=$C151),0)),"")</f>
        <v/>
      </c>
      <c r="G151" s="6">
        <f>IFERROR(D151*$C$3,"")</f>
        <v/>
      </c>
      <c r="H151" s="6">
        <f>IFERROR(E151*$C$4,"")</f>
        <v/>
      </c>
      <c r="I151" s="6">
        <f>IFERROR(F151*$C$5,"")</f>
        <v/>
      </c>
    </row>
    <row r="152">
      <c r="A152" t="inlineStr">
        <is>
          <t>As Queridinhas Pizzas Doces</t>
        </is>
      </c>
      <c r="B152" t="inlineStr">
        <is>
          <t>Pizza Brigadeiro</t>
        </is>
      </c>
      <c r="C152" t="inlineStr">
        <is>
          <t>Grande</t>
        </is>
      </c>
      <c r="D152" s="6">
        <f>IFERROR(INDEX(Comparativo!D:D,MATCH(1,(Comparativo!$B:$B=$B152)*(Comparativo!$C:$C=$C152),0)),"")</f>
        <v/>
      </c>
      <c r="E152" s="6">
        <f>IFERROR(INDEX(Comparativo!E:E,MATCH(1,(Comparativo!$B:$B=$B152)*(Comparativo!$C:$C=$C152),0)),"")</f>
        <v/>
      </c>
      <c r="F152" s="6">
        <f>IFERROR(INDEX(Comparativo!F:F,MATCH(1,(Comparativo!$B:$B=$B152)*(Comparativo!$C:$C=$C152),0)),"")</f>
        <v/>
      </c>
      <c r="G152" s="6">
        <f>IFERROR(D152*$C$3,"")</f>
        <v/>
      </c>
      <c r="H152" s="6">
        <f>IFERROR(E152*$C$4,"")</f>
        <v/>
      </c>
      <c r="I152" s="6">
        <f>IFERROR(F152*$C$5,"")</f>
        <v/>
      </c>
    </row>
    <row r="153">
      <c r="A153" t="inlineStr">
        <is>
          <t>As Queridinhas Pizzas Doces</t>
        </is>
      </c>
      <c r="B153" t="inlineStr">
        <is>
          <t>Pizza Banana</t>
        </is>
      </c>
      <c r="C153" t="inlineStr">
        <is>
          <t>Brotinho</t>
        </is>
      </c>
      <c r="D153" s="6">
        <f>IFERROR(INDEX(Comparativo!D:D,MATCH(1,(Comparativo!$B:$B=$B153)*(Comparativo!$C:$C=$C153),0)),"")</f>
        <v/>
      </c>
      <c r="E153" s="6">
        <f>IFERROR(INDEX(Comparativo!E:E,MATCH(1,(Comparativo!$B:$B=$B153)*(Comparativo!$C:$C=$C153),0)),"")</f>
        <v/>
      </c>
      <c r="F153" s="6">
        <f>IFERROR(INDEX(Comparativo!F:F,MATCH(1,(Comparativo!$B:$B=$B153)*(Comparativo!$C:$C=$C153),0)),"")</f>
        <v/>
      </c>
      <c r="G153" s="6">
        <f>IFERROR(D153*$C$3,"")</f>
        <v/>
      </c>
      <c r="H153" s="6">
        <f>IFERROR(E153*$C$4,"")</f>
        <v/>
      </c>
      <c r="I153" s="6">
        <f>IFERROR(F153*$C$5,"")</f>
        <v/>
      </c>
    </row>
    <row r="154">
      <c r="A154" t="inlineStr">
        <is>
          <t>As Queridinhas Pizzas Doces</t>
        </is>
      </c>
      <c r="B154" t="inlineStr">
        <is>
          <t>Pizza Banana</t>
        </is>
      </c>
      <c r="C154" t="inlineStr">
        <is>
          <t>Grande</t>
        </is>
      </c>
      <c r="D154" s="6">
        <f>IFERROR(INDEX(Comparativo!D:D,MATCH(1,(Comparativo!$B:$B=$B154)*(Comparativo!$C:$C=$C154),0)),"")</f>
        <v/>
      </c>
      <c r="E154" s="6">
        <f>IFERROR(INDEX(Comparativo!E:E,MATCH(1,(Comparativo!$B:$B=$B154)*(Comparativo!$C:$C=$C154),0)),"")</f>
        <v/>
      </c>
      <c r="F154" s="6">
        <f>IFERROR(INDEX(Comparativo!F:F,MATCH(1,(Comparativo!$B:$B=$B154)*(Comparativo!$C:$C=$C154),0)),"")</f>
        <v/>
      </c>
      <c r="G154" s="6">
        <f>IFERROR(D154*$C$3,"")</f>
        <v/>
      </c>
      <c r="H154" s="6">
        <f>IFERROR(E154*$C$4,"")</f>
        <v/>
      </c>
      <c r="I154" s="6">
        <f>IFERROR(F154*$C$5,"")</f>
        <v/>
      </c>
    </row>
    <row r="155">
      <c r="A155" t="inlineStr">
        <is>
          <t>Incrível Sobremesa</t>
        </is>
      </c>
      <c r="B155" t="inlineStr">
        <is>
          <t>Torta Holandesa</t>
        </is>
      </c>
      <c r="C155" t="inlineStr">
        <is>
          <t>Único</t>
        </is>
      </c>
      <c r="D155" s="6">
        <f>IFERROR(INDEX(Comparativo!D:D,MATCH(1,(Comparativo!$B:$B=$B155)*(Comparativo!$C:$C=$C155),0)),"")</f>
        <v/>
      </c>
      <c r="E155" s="6">
        <f>IFERROR(INDEX(Comparativo!E:E,MATCH(1,(Comparativo!$B:$B=$B155)*(Comparativo!$C:$C=$C155),0)),"")</f>
        <v/>
      </c>
      <c r="F155" s="6">
        <f>IFERROR(INDEX(Comparativo!F:F,MATCH(1,(Comparativo!$B:$B=$B155)*(Comparativo!$C:$C=$C155),0)),"")</f>
        <v/>
      </c>
      <c r="G155" s="6">
        <f>IFERROR(D155*$C$3,"")</f>
        <v/>
      </c>
      <c r="H155" s="6">
        <f>IFERROR(E155*$C$4,"")</f>
        <v/>
      </c>
      <c r="I155" s="6">
        <f>IFERROR(F155*$C$5,"")</f>
        <v/>
      </c>
    </row>
  </sheetData>
  <mergeCells count="2">
    <mergeCell ref="A1:C1"/>
    <mergeCell ref="A7:I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8" t="inlineStr">
        <is>
          <t>Resumo por categoria (preço iFood Brotinho)</t>
        </is>
      </c>
    </row>
    <row r="2">
      <c r="A2" s="5" t="inlineStr">
        <is>
          <t>Categoria</t>
        </is>
      </c>
      <c r="B2" s="5" t="inlineStr">
        <is>
          <t>Nº sabores</t>
        </is>
      </c>
      <c r="C2" s="5" t="inlineStr">
        <is>
          <t>Preço médio</t>
        </is>
      </c>
      <c r="D2" s="5" t="inlineStr">
        <is>
          <t>Mais barato</t>
        </is>
      </c>
      <c r="E2" s="5" t="inlineStr">
        <is>
          <t>Mais caro</t>
        </is>
      </c>
      <c r="F2" s="5" t="inlineStr">
        <is>
          <t>Amplitude</t>
        </is>
      </c>
    </row>
    <row r="3">
      <c r="A3" t="inlineStr">
        <is>
          <t>Cabe no seu bolso!!!</t>
        </is>
      </c>
      <c r="B3">
        <f>COUNTIFS(Dados!$A:$A,A3,Dados!$C:$C,"Brotinho",Dados!$D:$D,"iFood")</f>
        <v/>
      </c>
      <c r="C3" s="6">
        <f>IFERROR(AVERAGEIFS(Dados!$E:$E,Dados!$A:$A,A3,Dados!$C:$C,"Brotinho",Dados!$D:$D,"iFood"),"")</f>
        <v/>
      </c>
      <c r="D3" s="6">
        <f>IFERROR(MINIFS(Dados!$E:$E,Dados!$A:$A,A3,Dados!$C:$C,"Brotinho",Dados!$D:$D,"iFood"),"")</f>
        <v/>
      </c>
      <c r="E3" s="6">
        <f>IFERROR(MAXIFS(Dados!$E:$E,Dados!$A:$A,A3,Dados!$C:$C,"Brotinho",Dados!$D:$D,"iFood"),"")</f>
        <v/>
      </c>
      <c r="F3" s="6">
        <f>IFERROR(E3-D3,"")</f>
        <v/>
      </c>
    </row>
    <row r="4">
      <c r="A4" t="inlineStr">
        <is>
          <t>Imperdíveis Pizzas salgadas</t>
        </is>
      </c>
      <c r="B4">
        <f>COUNTIFS(Dados!$A:$A,A4,Dados!$C:$C,"Brotinho",Dados!$D:$D,"iFood")</f>
        <v/>
      </c>
      <c r="C4" s="6">
        <f>IFERROR(AVERAGEIFS(Dados!$E:$E,Dados!$A:$A,A4,Dados!$C:$C,"Brotinho",Dados!$D:$D,"iFood"),"")</f>
        <v/>
      </c>
      <c r="D4" s="6">
        <f>IFERROR(MINIFS(Dados!$E:$E,Dados!$A:$A,A4,Dados!$C:$C,"Brotinho",Dados!$D:$D,"iFood"),"")</f>
        <v/>
      </c>
      <c r="E4" s="6">
        <f>IFERROR(MAXIFS(Dados!$E:$E,Dados!$A:$A,A4,Dados!$C:$C,"Brotinho",Dados!$D:$D,"iFood"),"")</f>
        <v/>
      </c>
      <c r="F4" s="6">
        <f>IFERROR(E4-D4,"")</f>
        <v/>
      </c>
    </row>
    <row r="5">
      <c r="A5" t="inlineStr">
        <is>
          <t>As Queridinhas Pizzas Doces</t>
        </is>
      </c>
      <c r="B5">
        <f>COUNTIFS(Dados!$A:$A,A5,Dados!$C:$C,"Brotinho",Dados!$D:$D,"iFood")</f>
        <v/>
      </c>
      <c r="C5" s="6">
        <f>IFERROR(AVERAGEIFS(Dados!$E:$E,Dados!$A:$A,A5,Dados!$C:$C,"Brotinho",Dados!$D:$D,"iFood"),"")</f>
        <v/>
      </c>
      <c r="D5" s="6">
        <f>IFERROR(MINIFS(Dados!$E:$E,Dados!$A:$A,A5,Dados!$C:$C,"Brotinho",Dados!$D:$D,"iFood"),"")</f>
        <v/>
      </c>
      <c r="E5" s="6">
        <f>IFERROR(MAXIFS(Dados!$E:$E,Dados!$A:$A,A5,Dados!$C:$C,"Brotinho",Dados!$D:$D,"iFood"),"")</f>
        <v/>
      </c>
      <c r="F5" s="6">
        <f>IFERROR(E5-D5,"")</f>
        <v/>
      </c>
    </row>
    <row r="6">
      <c r="A6" t="inlineStr">
        <is>
          <t>Incrível Sobremesa</t>
        </is>
      </c>
      <c r="B6">
        <f>COUNTIFS(Dados!$A:$A,A6,Dados!$C:$C,"Único",Dados!$D:$D,"iFood")</f>
        <v/>
      </c>
      <c r="C6" s="6">
        <f>IFERROR(AVERAGEIFS(Dados!$E:$E,Dados!$A:$A,A6,Dados!$C:$C,"Único",Dados!$D:$D,"iFood"),"")</f>
        <v/>
      </c>
      <c r="D6" s="6">
        <f>IFERROR(MINIFS(Dados!$E:$E,Dados!$A:$A,A6,Dados!$C:$C,"Único",Dados!$D:$D,"iFood"),"")</f>
        <v/>
      </c>
      <c r="E6" s="6">
        <f>IFERROR(MAXIFS(Dados!$E:$E,Dados!$A:$A,A6,Dados!$C:$C,"Único",Dados!$D:$D,"iFood"),"")</f>
        <v/>
      </c>
      <c r="F6" s="6">
        <f>IFERROR(E6-D6,"")</f>
        <v/>
      </c>
    </row>
    <row r="8">
      <c r="A8" s="4" t="inlineStr">
        <is>
          <t>TOTAL GERAL</t>
        </is>
      </c>
      <c r="B8" s="4">
        <f>SUM(B3:B7)</f>
        <v/>
      </c>
      <c r="C8" s="9">
        <f>IFERROR(AVERAGEIFS(Dados!$E:$E,Dados!$D:$D,"iFood",Dados!$C:$C,"Brotinho"),"")</f>
        <v/>
      </c>
    </row>
    <row r="10">
      <c r="A10" s="8" t="inlineStr">
        <is>
          <t>Comparação canais (média de todos os sabores)</t>
        </is>
      </c>
    </row>
    <row r="11">
      <c r="A11" s="5" t="inlineStr">
        <is>
          <t>Plataforma</t>
        </is>
      </c>
      <c r="B11" s="5" t="inlineStr">
        <is>
          <t>Preço médio Brotinho</t>
        </is>
      </c>
      <c r="C11" s="5" t="inlineStr">
        <is>
          <t>Preço médio Grande</t>
        </is>
      </c>
    </row>
    <row r="12">
      <c r="A12" t="inlineStr">
        <is>
          <t>iFood</t>
        </is>
      </c>
      <c r="B12" s="6">
        <f>IFERROR(AVERAGEIFS(Dados!$E:$E,Dados!$D:$D,A12,Dados!$C:$C,"Brotinho"),"")</f>
        <v/>
      </c>
      <c r="C12" s="6">
        <f>IFERROR(AVERAGEIFS(Dados!$E:$E,Dados!$D:$D,A12,Dados!$C:$C,"Grande"),"")</f>
        <v/>
      </c>
    </row>
    <row r="13">
      <c r="A13" t="inlineStr">
        <is>
          <t>Loja (Retirada)</t>
        </is>
      </c>
      <c r="B13" s="6">
        <f>IFERROR(AVERAGEIFS(Dados!$E:$E,Dados!$D:$D,A13,Dados!$C:$C,"Brotinho"),"")</f>
        <v/>
      </c>
      <c r="C13" s="6">
        <f>IFERROR(AVERAGEIFS(Dados!$E:$E,Dados!$D:$D,A13,Dados!$C:$C,"Grande"),"")</f>
        <v/>
      </c>
    </row>
    <row r="14">
      <c r="A14" t="inlineStr">
        <is>
          <t>Keeta</t>
        </is>
      </c>
      <c r="B14" s="6">
        <f>IFERROR(AVERAGEIFS(Dados!$E:$E,Dados!$D:$D,A14,Dados!$C:$C,"Brotinho"),"")</f>
        <v/>
      </c>
      <c r="C14" s="6">
        <f>IFERROR(AVERAGEIFS(Dados!$E:$E,Dados!$D:$D,A14,Dados!$C:$C,"Grande"),"")</f>
        <v/>
      </c>
    </row>
  </sheetData>
  <mergeCells count="2"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12" customWidth="1" min="4" max="4"/>
    <col width="14" customWidth="1" min="5" max="5"/>
    <col width="14" customWidth="1" min="6" max="6"/>
    <col width="12" customWidth="1" min="7" max="7"/>
  </cols>
  <sheetData>
    <row r="1">
      <c r="A1" s="8" t="inlineStr">
        <is>
          <t>Promoções e campanhas</t>
        </is>
      </c>
    </row>
    <row r="2">
      <c r="A2" s="5" t="inlineStr">
        <is>
          <t>Nome</t>
        </is>
      </c>
      <c r="B2" s="5" t="inlineStr">
        <is>
          <t>Canal</t>
        </is>
      </c>
      <c r="C2" s="5" t="inlineStr">
        <is>
          <t>Sabor / Categoria</t>
        </is>
      </c>
      <c r="D2" s="5" t="inlineStr">
        <is>
          <t>Tamanho</t>
        </is>
      </c>
      <c r="E2" s="5" t="inlineStr">
        <is>
          <t>Preço normal</t>
        </is>
      </c>
      <c r="F2" s="5" t="inlineStr">
        <is>
          <t>Preço promo</t>
        </is>
      </c>
      <c r="G2" s="5" t="inlineStr">
        <is>
          <t>Desconto</t>
        </is>
      </c>
      <c r="I2" s="2" t="inlineStr">
        <is>
          <t>Preencha as colunas A-F; desconto calculado automaticamente.</t>
        </is>
      </c>
    </row>
    <row r="3">
      <c r="G3" s="7">
        <f>IFERROR(IF(E3=0,"",1-F3/E3),"")</f>
        <v/>
      </c>
    </row>
    <row r="4">
      <c r="G4" s="7">
        <f>IFERROR(IF(E4=0,"",1-F4/E4),"")</f>
        <v/>
      </c>
    </row>
    <row r="5">
      <c r="G5" s="7">
        <f>IFERROR(IF(E5=0,"",1-F5/E5),"")</f>
        <v/>
      </c>
    </row>
    <row r="6">
      <c r="G6" s="7">
        <f>IFERROR(IF(E6=0,"",1-F6/E6),"")</f>
        <v/>
      </c>
    </row>
    <row r="7">
      <c r="G7" s="7">
        <f>IFERROR(IF(E7=0,"",1-F7/E7),"")</f>
        <v/>
      </c>
    </row>
    <row r="8">
      <c r="G8" s="7">
        <f>IFERROR(IF(E8=0,"",1-F8/E8),"")</f>
        <v/>
      </c>
    </row>
    <row r="9">
      <c r="G9" s="7">
        <f>IFERROR(IF(E9=0,"",1-F9/E9),"")</f>
        <v/>
      </c>
    </row>
    <row r="10">
      <c r="G10" s="7">
        <f>IFERROR(IF(E10=0,"",1-F10/E10),"")</f>
        <v/>
      </c>
    </row>
    <row r="11">
      <c r="G11" s="7">
        <f>IFERROR(IF(E11=0,"",1-F11/E11),"")</f>
        <v/>
      </c>
    </row>
    <row r="12">
      <c r="G12" s="7">
        <f>IFERROR(IF(E12=0,"",1-F12/E12),"")</f>
        <v/>
      </c>
    </row>
    <row r="13">
      <c r="G13" s="7">
        <f>IFERROR(IF(E13=0,"",1-F13/E13),"")</f>
        <v/>
      </c>
    </row>
    <row r="14">
      <c r="G14" s="7">
        <f>IFERROR(IF(E14=0,"",1-F14/E14),"")</f>
        <v/>
      </c>
    </row>
    <row r="15">
      <c r="G15" s="7">
        <f>IFERROR(IF(E15=0,"",1-F15/E15),"")</f>
        <v/>
      </c>
    </row>
    <row r="16">
      <c r="G16" s="7">
        <f>IFERROR(IF(E16=0,"",1-F16/E16),"")</f>
        <v/>
      </c>
    </row>
    <row r="17">
      <c r="G17" s="7">
        <f>IFERROR(IF(E17=0,"",1-F17/E17),"")</f>
        <v/>
      </c>
    </row>
    <row r="18">
      <c r="G18" s="7">
        <f>IFERROR(IF(E18=0,"",1-F18/E18),"")</f>
        <v/>
      </c>
    </row>
    <row r="19">
      <c r="G19" s="7">
        <f>IFERROR(IF(E19=0,"",1-F19/E19),"")</f>
        <v/>
      </c>
    </row>
    <row r="20">
      <c r="G20" s="7">
        <f>IFERROR(IF(E20=0,"",1-F20/E20),"")</f>
        <v/>
      </c>
    </row>
    <row r="21">
      <c r="G21" s="7">
        <f>IFERROR(IF(E21=0,"",1-F21/E21),"")</f>
        <v/>
      </c>
    </row>
    <row r="22">
      <c r="G22" s="7">
        <f>IFERROR(IF(E22=0,"",1-F22/E22),"")</f>
        <v/>
      </c>
    </row>
    <row r="23">
      <c r="G23" s="7">
        <f>IFERROR(IF(E23=0,"",1-F23/E23),"")</f>
        <v/>
      </c>
    </row>
    <row r="24">
      <c r="G24" s="7">
        <f>IFERROR(IF(E24=0,"",1-F24/E24),"")</f>
        <v/>
      </c>
    </row>
    <row r="25">
      <c r="G25" s="7">
        <f>IFERROR(IF(E25=0,"",1-F25/E25),"")</f>
        <v/>
      </c>
    </row>
    <row r="26">
      <c r="G26" s="7">
        <f>IFERROR(IF(E26=0,"",1-F26/E26),"")</f>
        <v/>
      </c>
    </row>
    <row r="27">
      <c r="G27" s="7">
        <f>IFERROR(IF(E27=0,"",1-F27/E27),"")</f>
        <v/>
      </c>
    </row>
    <row r="28">
      <c r="G28" s="7">
        <f>IFERROR(IF(E28=0,"",1-F28/E28),"")</f>
        <v/>
      </c>
    </row>
    <row r="29">
      <c r="G29" s="7">
        <f>IFERROR(IF(E29=0,"",1-F29/E29),"")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2026-06-12T01:37:31Z</dcterms:created>
  <dcterms:modified xmlns:dcterms="http://purl.org/dc/terms/" xmlns:xsi="http://www.w3.org/2001/XMLSchema-instance" xsi:type="dcterms:W3CDTF">2026-06-12T01:37:31Z</dcterms:modified>
</cp:coreProperties>
</file>