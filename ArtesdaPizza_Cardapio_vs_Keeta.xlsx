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ápio vs Keeta" sheetId="1" state="visible" r:id="rId1"/>
    <sheet xmlns:r="http://schemas.openxmlformats.org/officeDocument/2006/relationships" name="Bor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;-0.0%;&quot;-&quot;"/>
  </numFmts>
  <fonts count="8">
    <font>
      <name val="Calibri"/>
      <family val="2"/>
      <color theme="1"/>
      <sz val="11"/>
      <scheme val="minor"/>
    </font>
    <font>
      <name val="Arial"/>
      <b val="1"/>
      <color rgb="002E1A0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E1A0F"/>
      <sz val="11"/>
    </font>
    <font>
      <name val="Arial"/>
      <i val="1"/>
      <color rgb="00888888"/>
      <sz val="9"/>
    </font>
    <font>
      <name val="Arial"/>
      <i val="1"/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2E1A0F"/>
      </patternFill>
    </fill>
    <fill>
      <patternFill patternType="solid">
        <fgColor rgb="00F4D6B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9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8C8C8"/>
        </patternFill>
      </fill>
    </dxf>
    <dxf>
      <fill>
        <patternFill patternType="solid">
          <fgColor rgb="00C8E6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0" customWidth="1" min="5" max="5"/>
    <col width="9" customWidth="1" min="6" max="6"/>
    <col width="11" customWidth="1" min="7" max="7"/>
    <col width="11" customWidth="1" min="8" max="8"/>
    <col width="10" customWidth="1" min="9" max="9"/>
    <col width="9" customWidth="1" min="10" max="10"/>
    <col width="13" customWidth="1" min="11" max="11"/>
  </cols>
  <sheetData>
    <row r="1">
      <c r="A1" s="1" t="inlineStr">
        <is>
          <t>ARTES DA PIZZA — Cardápio oficial vs preço no Keeta</t>
        </is>
      </c>
    </row>
    <row r="2" ht="30" customHeight="1">
      <c r="A2" s="2" t="inlineStr">
        <is>
          <t>Cardápio = preço de venda oficial (WhatsApp/loja). Keeta = preço atualmente cadastrado no app. Δ = Keeta menos Cardápio: positivo = Keeta mais caro que o cardápio; negativo = Keeta mais barato. Regra da casa: Keeta = Cardápio +30% (coluna K confere linha a linha). Foco em Broto (colunas em destaque) — Grande vem na sequência.</t>
        </is>
      </c>
    </row>
    <row r="3">
      <c r="A3" s="3" t="inlineStr">
        <is>
          <t>Margem-alvo Keeta sobre Broto:</t>
        </is>
      </c>
      <c r="D3" s="4" t="n">
        <v>0.3</v>
      </c>
    </row>
    <row r="4" ht="30" customHeight="1">
      <c r="A4" s="5" t="inlineStr">
        <is>
          <t>Nº</t>
        </is>
      </c>
      <c r="B4" s="5" t="inlineStr">
        <is>
          <t>Pizza</t>
        </is>
      </c>
      <c r="C4" s="5" t="inlineStr">
        <is>
          <t>Cardápio
Broto</t>
        </is>
      </c>
      <c r="D4" s="5" t="inlineStr">
        <is>
          <t>Keeta
Broto</t>
        </is>
      </c>
      <c r="E4" s="5" t="inlineStr">
        <is>
          <t>Δ Broto
R$</t>
        </is>
      </c>
      <c r="F4" s="5" t="inlineStr">
        <is>
          <t>Δ Broto
%</t>
        </is>
      </c>
      <c r="G4" s="5" t="inlineStr">
        <is>
          <t>Cardápio
Grande</t>
        </is>
      </c>
      <c r="H4" s="5" t="inlineStr">
        <is>
          <t>Keeta
Grande</t>
        </is>
      </c>
      <c r="I4" s="5" t="inlineStr">
        <is>
          <t>Δ Grande
R$</t>
        </is>
      </c>
      <c r="J4" s="5" t="inlineStr">
        <is>
          <t>Δ Grande
%</t>
        </is>
      </c>
      <c r="K4" s="5" t="inlineStr">
        <is>
          <t>Bate c/
margem-alvo?</t>
        </is>
      </c>
    </row>
    <row r="5">
      <c r="A5" s="6" t="inlineStr">
        <is>
          <t>PIZZAS SALGADAS</t>
        </is>
      </c>
    </row>
    <row r="6">
      <c r="A6" s="7" t="n">
        <v>1</v>
      </c>
      <c r="B6" s="8" t="inlineStr">
        <is>
          <t>2 QUEIJOS</t>
        </is>
      </c>
      <c r="C6" s="9" t="n">
        <v>51</v>
      </c>
      <c r="D6" s="9" t="n">
        <v>66.3</v>
      </c>
      <c r="E6" s="9">
        <f>IFERROR(D6-C6,"")</f>
        <v/>
      </c>
      <c r="F6" s="10">
        <f>IFERROR((D6-C6)/C6,"")</f>
        <v/>
      </c>
      <c r="G6" s="11" t="n">
        <v>82</v>
      </c>
      <c r="H6" s="11" t="n">
        <v>106.6</v>
      </c>
      <c r="I6" s="11">
        <f>IFERROR(H6-G6,"")</f>
        <v/>
      </c>
      <c r="J6" s="12">
        <f>IFERROR((H6-G6)/G6,"")</f>
        <v/>
      </c>
      <c r="K6" s="13">
        <f>IFERROR(IF(ABS(F6-$D$3)&lt;0.003,"OK","Divergente"),"—")</f>
        <v/>
      </c>
    </row>
    <row r="7">
      <c r="A7" s="7" t="n">
        <v>2</v>
      </c>
      <c r="B7" s="8" t="inlineStr">
        <is>
          <t>4 QUEIJOS</t>
        </is>
      </c>
      <c r="C7" s="9" t="n">
        <v>57</v>
      </c>
      <c r="D7" s="9" t="n">
        <v>74.09999999999999</v>
      </c>
      <c r="E7" s="9">
        <f>IFERROR(D7-C7,"")</f>
        <v/>
      </c>
      <c r="F7" s="10">
        <f>IFERROR((D7-C7)/C7,"")</f>
        <v/>
      </c>
      <c r="G7" s="11" t="n">
        <v>91</v>
      </c>
      <c r="H7" s="11" t="n">
        <v>118.3</v>
      </c>
      <c r="I7" s="11">
        <f>IFERROR(H7-G7,"")</f>
        <v/>
      </c>
      <c r="J7" s="12">
        <f>IFERROR((H7-G7)/G7,"")</f>
        <v/>
      </c>
      <c r="K7" s="13">
        <f>IFERROR(IF(ABS(F7-$D$3)&lt;0.003,"OK","Divergente"),"—")</f>
        <v/>
      </c>
    </row>
    <row r="8">
      <c r="A8" s="7" t="n">
        <v>3</v>
      </c>
      <c r="B8" s="8" t="inlineStr">
        <is>
          <t>5 QUEIJOS</t>
        </is>
      </c>
      <c r="C8" s="9" t="n">
        <v>62</v>
      </c>
      <c r="D8" s="9" t="n">
        <v>80.59999999999999</v>
      </c>
      <c r="E8" s="9">
        <f>IFERROR(D8-C8,"")</f>
        <v/>
      </c>
      <c r="F8" s="10">
        <f>IFERROR((D8-C8)/C8,"")</f>
        <v/>
      </c>
      <c r="G8" s="11" t="n">
        <v>99</v>
      </c>
      <c r="H8" s="11" t="n">
        <v>128.7</v>
      </c>
      <c r="I8" s="11">
        <f>IFERROR(H8-G8,"")</f>
        <v/>
      </c>
      <c r="J8" s="12">
        <f>IFERROR((H8-G8)/G8,"")</f>
        <v/>
      </c>
      <c r="K8" s="13">
        <f>IFERROR(IF(ABS(F8-$D$3)&lt;0.003,"OK","Divergente"),"—")</f>
        <v/>
      </c>
    </row>
    <row r="9">
      <c r="A9" s="7" t="n">
        <v>4</v>
      </c>
      <c r="B9" s="8" t="inlineStr">
        <is>
          <t>A MODA DA CASA</t>
        </is>
      </c>
      <c r="C9" s="9" t="n">
        <v>62</v>
      </c>
      <c r="D9" s="9" t="n">
        <v>80.59999999999999</v>
      </c>
      <c r="E9" s="9">
        <f>IFERROR(D9-C9,"")</f>
        <v/>
      </c>
      <c r="F9" s="10">
        <f>IFERROR((D9-C9)/C9,"")</f>
        <v/>
      </c>
      <c r="G9" s="11" t="n">
        <v>99</v>
      </c>
      <c r="H9" s="11" t="n">
        <v>128.7</v>
      </c>
      <c r="I9" s="11">
        <f>IFERROR(H9-G9,"")</f>
        <v/>
      </c>
      <c r="J9" s="12">
        <f>IFERROR((H9-G9)/G9,"")</f>
        <v/>
      </c>
      <c r="K9" s="13">
        <f>IFERROR(IF(ABS(F9-$D$3)&lt;0.003,"OK","Divergente"),"—")</f>
        <v/>
      </c>
    </row>
    <row r="10">
      <c r="A10" s="7" t="n">
        <v>5</v>
      </c>
      <c r="B10" s="8" t="inlineStr">
        <is>
          <t>ABOBRINHA</t>
        </is>
      </c>
      <c r="C10" s="9" t="n">
        <v>46</v>
      </c>
      <c r="D10" s="9" t="n">
        <v>59.8</v>
      </c>
      <c r="E10" s="9">
        <f>IFERROR(D10-C10,"")</f>
        <v/>
      </c>
      <c r="F10" s="10">
        <f>IFERROR((D10-C10)/C10,"")</f>
        <v/>
      </c>
      <c r="G10" s="11" t="n">
        <v>75</v>
      </c>
      <c r="H10" s="11" t="n">
        <v>97.5</v>
      </c>
      <c r="I10" s="11">
        <f>IFERROR(H10-G10,"")</f>
        <v/>
      </c>
      <c r="J10" s="12">
        <f>IFERROR((H10-G10)/G10,"")</f>
        <v/>
      </c>
      <c r="K10" s="13">
        <f>IFERROR(IF(ABS(F10-$D$3)&lt;0.003,"OK","Divergente"),"—")</f>
        <v/>
      </c>
    </row>
    <row r="11">
      <c r="A11" s="7" t="n">
        <v>6</v>
      </c>
      <c r="B11" s="8" t="inlineStr">
        <is>
          <t>ALADINELE</t>
        </is>
      </c>
      <c r="C11" s="9" t="n">
        <v>53</v>
      </c>
      <c r="D11" s="9" t="n">
        <v>68.90000000000001</v>
      </c>
      <c r="E11" s="9">
        <f>IFERROR(D11-C11,"")</f>
        <v/>
      </c>
      <c r="F11" s="10">
        <f>IFERROR((D11-C11)/C11,"")</f>
        <v/>
      </c>
      <c r="G11" s="11" t="n">
        <v>85</v>
      </c>
      <c r="H11" s="11" t="n">
        <v>110.5</v>
      </c>
      <c r="I11" s="11">
        <f>IFERROR(H11-G11,"")</f>
        <v/>
      </c>
      <c r="J11" s="12">
        <f>IFERROR((H11-G11)/G11,"")</f>
        <v/>
      </c>
      <c r="K11" s="13">
        <f>IFERROR(IF(ABS(F11-$D$3)&lt;0.003,"OK","Divergente"),"—")</f>
        <v/>
      </c>
    </row>
    <row r="12">
      <c r="A12" s="7" t="n">
        <v>7</v>
      </c>
      <c r="B12" s="8" t="inlineStr">
        <is>
          <t>ALCACHOFRA</t>
        </is>
      </c>
      <c r="C12" s="9" t="n">
        <v>55</v>
      </c>
      <c r="D12" s="9" t="n">
        <v>71.5</v>
      </c>
      <c r="E12" s="9">
        <f>IFERROR(D12-C12,"")</f>
        <v/>
      </c>
      <c r="F12" s="10">
        <f>IFERROR((D12-C12)/C12,"")</f>
        <v/>
      </c>
      <c r="G12" s="11" t="n">
        <v>88</v>
      </c>
      <c r="H12" s="11" t="n">
        <v>114.4</v>
      </c>
      <c r="I12" s="11">
        <f>IFERROR(H12-G12,"")</f>
        <v/>
      </c>
      <c r="J12" s="12">
        <f>IFERROR((H12-G12)/G12,"")</f>
        <v/>
      </c>
      <c r="K12" s="13">
        <f>IFERROR(IF(ABS(F12-$D$3)&lt;0.003,"OK","Divergente"),"—")</f>
        <v/>
      </c>
    </row>
    <row r="13">
      <c r="A13" s="7" t="n">
        <v>8</v>
      </c>
      <c r="B13" s="8" t="inlineStr">
        <is>
          <t>ALCACHOFRA ESPECIAL</t>
        </is>
      </c>
      <c r="C13" s="9" t="n">
        <v>62</v>
      </c>
      <c r="D13" s="9" t="n">
        <v>80.59999999999999</v>
      </c>
      <c r="E13" s="9">
        <f>IFERROR(D13-C13,"")</f>
        <v/>
      </c>
      <c r="F13" s="10">
        <f>IFERROR((D13-C13)/C13,"")</f>
        <v/>
      </c>
      <c r="G13" s="11" t="n">
        <v>99</v>
      </c>
      <c r="H13" s="11" t="n">
        <v>128.7</v>
      </c>
      <c r="I13" s="11">
        <f>IFERROR(H13-G13,"")</f>
        <v/>
      </c>
      <c r="J13" s="12">
        <f>IFERROR((H13-G13)/G13,"")</f>
        <v/>
      </c>
      <c r="K13" s="13">
        <f>IFERROR(IF(ABS(F13-$D$3)&lt;0.003,"OK","Divergente"),"—")</f>
        <v/>
      </c>
    </row>
    <row r="14">
      <c r="A14" s="7" t="n">
        <v>9</v>
      </c>
      <c r="B14" s="8" t="inlineStr">
        <is>
          <t>ALHO</t>
        </is>
      </c>
      <c r="C14" s="9" t="n">
        <v>46</v>
      </c>
      <c r="D14" s="9" t="n">
        <v>59.8</v>
      </c>
      <c r="E14" s="9">
        <f>IFERROR(D14-C14,"")</f>
        <v/>
      </c>
      <c r="F14" s="10">
        <f>IFERROR((D14-C14)/C14,"")</f>
        <v/>
      </c>
      <c r="G14" s="11" t="n">
        <v>75</v>
      </c>
      <c r="H14" s="11" t="n">
        <v>97.5</v>
      </c>
      <c r="I14" s="11">
        <f>IFERROR(H14-G14,"")</f>
        <v/>
      </c>
      <c r="J14" s="12">
        <f>IFERROR((H14-G14)/G14,"")</f>
        <v/>
      </c>
      <c r="K14" s="13">
        <f>IFERROR(IF(ABS(F14-$D$3)&lt;0.003,"OK","Divergente"),"—")</f>
        <v/>
      </c>
    </row>
    <row r="15">
      <c r="A15" s="7" t="n">
        <v>10</v>
      </c>
      <c r="B15" s="8" t="inlineStr">
        <is>
          <t>ALHO PORÓ</t>
        </is>
      </c>
      <c r="C15" s="9" t="n">
        <v>46</v>
      </c>
      <c r="D15" s="9" t="n">
        <v>59.8</v>
      </c>
      <c r="E15" s="9">
        <f>IFERROR(D15-C15,"")</f>
        <v/>
      </c>
      <c r="F15" s="10">
        <f>IFERROR((D15-C15)/C15,"")</f>
        <v/>
      </c>
      <c r="G15" s="11" t="n">
        <v>75</v>
      </c>
      <c r="H15" s="11" t="n">
        <v>97.5</v>
      </c>
      <c r="I15" s="11">
        <f>IFERROR(H15-G15,"")</f>
        <v/>
      </c>
      <c r="J15" s="12">
        <f>IFERROR((H15-G15)/G15,"")</f>
        <v/>
      </c>
      <c r="K15" s="13">
        <f>IFERROR(IF(ABS(F15-$D$3)&lt;0.003,"OK","Divergente"),"—")</f>
        <v/>
      </c>
    </row>
    <row r="16">
      <c r="A16" s="7" t="n">
        <v>11</v>
      </c>
      <c r="B16" s="8" t="inlineStr">
        <is>
          <t>ALICHE IMPORTADO</t>
        </is>
      </c>
      <c r="C16" s="9" t="n">
        <v>61</v>
      </c>
      <c r="D16" s="9" t="n">
        <v>79.3</v>
      </c>
      <c r="E16" s="9">
        <f>IFERROR(D16-C16,"")</f>
        <v/>
      </c>
      <c r="F16" s="10">
        <f>IFERROR((D16-C16)/C16,"")</f>
        <v/>
      </c>
      <c r="G16" s="11" t="n">
        <v>95</v>
      </c>
      <c r="H16" s="11" t="n">
        <v>123.5</v>
      </c>
      <c r="I16" s="11">
        <f>IFERROR(H16-G16,"")</f>
        <v/>
      </c>
      <c r="J16" s="12">
        <f>IFERROR((H16-G16)/G16,"")</f>
        <v/>
      </c>
      <c r="K16" s="13">
        <f>IFERROR(IF(ABS(F16-$D$3)&lt;0.003,"OK","Divergente"),"—")</f>
        <v/>
      </c>
    </row>
    <row r="17">
      <c r="A17" s="7" t="n">
        <v>12</v>
      </c>
      <c r="B17" s="8" t="inlineStr">
        <is>
          <t>AMERICANA</t>
        </is>
      </c>
      <c r="C17" s="9" t="n">
        <v>57</v>
      </c>
      <c r="D17" s="9" t="n">
        <v>74.09999999999999</v>
      </c>
      <c r="E17" s="9">
        <f>IFERROR(D17-C17,"")</f>
        <v/>
      </c>
      <c r="F17" s="10">
        <f>IFERROR((D17-C17)/C17,"")</f>
        <v/>
      </c>
      <c r="G17" s="11" t="n">
        <v>91</v>
      </c>
      <c r="H17" s="11" t="n">
        <v>118.3</v>
      </c>
      <c r="I17" s="11">
        <f>IFERROR(H17-G17,"")</f>
        <v/>
      </c>
      <c r="J17" s="12">
        <f>IFERROR((H17-G17)/G17,"")</f>
        <v/>
      </c>
      <c r="K17" s="13">
        <f>IFERROR(IF(ABS(F17-$D$3)&lt;0.003,"OK","Divergente"),"—")</f>
        <v/>
      </c>
    </row>
    <row r="18">
      <c r="A18" s="7" t="n">
        <v>13</v>
      </c>
      <c r="B18" s="8" t="inlineStr">
        <is>
          <t>ARTES DA PIZZA</t>
        </is>
      </c>
      <c r="C18" s="9" t="n">
        <v>48</v>
      </c>
      <c r="D18" s="9" t="n">
        <v>62.4</v>
      </c>
      <c r="E18" s="9">
        <f>IFERROR(D18-C18,"")</f>
        <v/>
      </c>
      <c r="F18" s="10">
        <f>IFERROR((D18-C18)/C18,"")</f>
        <v/>
      </c>
      <c r="G18" s="11" t="n">
        <v>78</v>
      </c>
      <c r="H18" s="11" t="n">
        <v>101.4</v>
      </c>
      <c r="I18" s="11">
        <f>IFERROR(H18-G18,"")</f>
        <v/>
      </c>
      <c r="J18" s="12">
        <f>IFERROR((H18-G18)/G18,"")</f>
        <v/>
      </c>
      <c r="K18" s="13">
        <f>IFERROR(IF(ABS(F18-$D$3)&lt;0.003,"OK","Divergente"),"—")</f>
        <v/>
      </c>
    </row>
    <row r="19">
      <c r="A19" s="7" t="n">
        <v>14</v>
      </c>
      <c r="B19" s="8" t="inlineStr">
        <is>
          <t>ATUM</t>
        </is>
      </c>
      <c r="C19" s="9" t="n">
        <v>43</v>
      </c>
      <c r="D19" s="9" t="n">
        <v>55.9</v>
      </c>
      <c r="E19" s="9">
        <f>IFERROR(D19-C19,"")</f>
        <v/>
      </c>
      <c r="F19" s="10">
        <f>IFERROR((D19-C19)/C19,"")</f>
        <v/>
      </c>
      <c r="G19" s="11" t="n">
        <v>69</v>
      </c>
      <c r="H19" s="11" t="n">
        <v>89.7</v>
      </c>
      <c r="I19" s="11">
        <f>IFERROR(H19-G19,"")</f>
        <v/>
      </c>
      <c r="J19" s="12">
        <f>IFERROR((H19-G19)/G19,"")</f>
        <v/>
      </c>
      <c r="K19" s="13">
        <f>IFERROR(IF(ABS(F19-$D$3)&lt;0.003,"OK","Divergente"),"—")</f>
        <v/>
      </c>
    </row>
    <row r="20">
      <c r="A20" s="7" t="n">
        <v>15</v>
      </c>
      <c r="B20" s="8" t="inlineStr">
        <is>
          <t>ATUM ESPECIAL</t>
        </is>
      </c>
      <c r="C20" s="9" t="n">
        <v>55</v>
      </c>
      <c r="D20" s="9" t="n">
        <v>71.5</v>
      </c>
      <c r="E20" s="9">
        <f>IFERROR(D20-C20,"")</f>
        <v/>
      </c>
      <c r="F20" s="10">
        <f>IFERROR((D20-C20)/C20,"")</f>
        <v/>
      </c>
      <c r="G20" s="11" t="n">
        <v>88</v>
      </c>
      <c r="H20" s="11" t="n">
        <v>114.4</v>
      </c>
      <c r="I20" s="11">
        <f>IFERROR(H20-G20,"")</f>
        <v/>
      </c>
      <c r="J20" s="12">
        <f>IFERROR((H20-G20)/G20,"")</f>
        <v/>
      </c>
      <c r="K20" s="13">
        <f>IFERROR(IF(ABS(F20-$D$3)&lt;0.003,"OK","Divergente"),"—")</f>
        <v/>
      </c>
    </row>
    <row r="21">
      <c r="A21" s="7" t="n">
        <v>16</v>
      </c>
      <c r="B21" s="8" t="inlineStr">
        <is>
          <t>BACON</t>
        </is>
      </c>
      <c r="C21" s="9" t="n">
        <v>48</v>
      </c>
      <c r="D21" s="9" t="n">
        <v>62.4</v>
      </c>
      <c r="E21" s="9">
        <f>IFERROR(D21-C21,"")</f>
        <v/>
      </c>
      <c r="F21" s="10">
        <f>IFERROR((D21-C21)/C21,"")</f>
        <v/>
      </c>
      <c r="G21" s="11" t="n">
        <v>78</v>
      </c>
      <c r="H21" s="11" t="n">
        <v>101.4</v>
      </c>
      <c r="I21" s="11">
        <f>IFERROR(H21-G21,"")</f>
        <v/>
      </c>
      <c r="J21" s="12">
        <f>IFERROR((H21-G21)/G21,"")</f>
        <v/>
      </c>
      <c r="K21" s="13">
        <f>IFERROR(IF(ABS(F21-$D$3)&lt;0.003,"OK","Divergente"),"—")</f>
        <v/>
      </c>
    </row>
    <row r="22">
      <c r="A22" s="7" t="n">
        <v>17</v>
      </c>
      <c r="B22" s="8" t="inlineStr">
        <is>
          <t>BAIANA</t>
        </is>
      </c>
      <c r="C22" s="9" t="n">
        <v>45</v>
      </c>
      <c r="D22" s="9" t="n">
        <v>58.5</v>
      </c>
      <c r="E22" s="9">
        <f>IFERROR(D22-C22,"")</f>
        <v/>
      </c>
      <c r="F22" s="10">
        <f>IFERROR((D22-C22)/C22,"")</f>
        <v/>
      </c>
      <c r="G22" s="11" t="n">
        <v>72</v>
      </c>
      <c r="H22" s="11" t="n">
        <v>93.59999999999999</v>
      </c>
      <c r="I22" s="11">
        <f>IFERROR(H22-G22,"")</f>
        <v/>
      </c>
      <c r="J22" s="12">
        <f>IFERROR((H22-G22)/G22,"")</f>
        <v/>
      </c>
      <c r="K22" s="13">
        <f>IFERROR(IF(ABS(F22-$D$3)&lt;0.003,"OK","Divergente"),"—")</f>
        <v/>
      </c>
    </row>
    <row r="23">
      <c r="A23" s="7" t="n">
        <v>18</v>
      </c>
      <c r="B23" s="8" t="inlineStr">
        <is>
          <t>BERINJELA</t>
        </is>
      </c>
      <c r="C23" s="9" t="n">
        <v>45</v>
      </c>
      <c r="D23" s="9" t="n">
        <v>58.5</v>
      </c>
      <c r="E23" s="9">
        <f>IFERROR(D23-C23,"")</f>
        <v/>
      </c>
      <c r="F23" s="10">
        <f>IFERROR((D23-C23)/C23,"")</f>
        <v/>
      </c>
      <c r="G23" s="11" t="n">
        <v>72</v>
      </c>
      <c r="H23" s="11" t="n">
        <v>93.59999999999999</v>
      </c>
      <c r="I23" s="11">
        <f>IFERROR(H23-G23,"")</f>
        <v/>
      </c>
      <c r="J23" s="12">
        <f>IFERROR((H23-G23)/G23,"")</f>
        <v/>
      </c>
      <c r="K23" s="13">
        <f>IFERROR(IF(ABS(F23-$D$3)&lt;0.003,"OK","Divergente"),"—")</f>
        <v/>
      </c>
    </row>
    <row r="24">
      <c r="A24" s="7" t="n">
        <v>19</v>
      </c>
      <c r="B24" s="8" t="inlineStr">
        <is>
          <t>BRÓCOLIS</t>
        </is>
      </c>
      <c r="C24" s="9" t="n">
        <v>45</v>
      </c>
      <c r="D24" s="9" t="n">
        <v>58.5</v>
      </c>
      <c r="E24" s="9">
        <f>IFERROR(D24-C24,"")</f>
        <v/>
      </c>
      <c r="F24" s="10">
        <f>IFERROR((D24-C24)/C24,"")</f>
        <v/>
      </c>
      <c r="G24" s="11" t="n">
        <v>72</v>
      </c>
      <c r="H24" s="11" t="n">
        <v>93.59999999999999</v>
      </c>
      <c r="I24" s="11">
        <f>IFERROR(H24-G24,"")</f>
        <v/>
      </c>
      <c r="J24" s="12">
        <f>IFERROR((H24-G24)/G24,"")</f>
        <v/>
      </c>
      <c r="K24" s="13">
        <f>IFERROR(IF(ABS(F24-$D$3)&lt;0.003,"OK","Divergente"),"—")</f>
        <v/>
      </c>
    </row>
    <row r="25">
      <c r="A25" s="7" t="n">
        <v>20</v>
      </c>
      <c r="B25" s="8" t="inlineStr">
        <is>
          <t>BROCOLIS II</t>
        </is>
      </c>
      <c r="C25" s="9" t="n">
        <v>52</v>
      </c>
      <c r="D25" s="9" t="n">
        <v>67.59999999999999</v>
      </c>
      <c r="E25" s="9">
        <f>IFERROR(D25-C25,"")</f>
        <v/>
      </c>
      <c r="F25" s="10">
        <f>IFERROR((D25-C25)/C25,"")</f>
        <v/>
      </c>
      <c r="G25" s="11" t="n">
        <v>84</v>
      </c>
      <c r="H25" s="11" t="n">
        <v>109.2</v>
      </c>
      <c r="I25" s="11">
        <f>IFERROR(H25-G25,"")</f>
        <v/>
      </c>
      <c r="J25" s="12">
        <f>IFERROR((H25-G25)/G25,"")</f>
        <v/>
      </c>
      <c r="K25" s="13">
        <f>IFERROR(IF(ABS(F25-$D$3)&lt;0.003,"OK","Divergente"),"—")</f>
        <v/>
      </c>
    </row>
    <row r="26">
      <c r="A26" s="7" t="n">
        <v>21</v>
      </c>
      <c r="B26" s="8" t="inlineStr">
        <is>
          <t>BRÓCOLIS III</t>
        </is>
      </c>
      <c r="C26" s="9" t="n">
        <v>52</v>
      </c>
      <c r="D26" s="9" t="n">
        <v>67.59999999999999</v>
      </c>
      <c r="E26" s="9">
        <f>IFERROR(D26-C26,"")</f>
        <v/>
      </c>
      <c r="F26" s="10">
        <f>IFERROR((D26-C26)/C26,"")</f>
        <v/>
      </c>
      <c r="G26" s="11" t="n">
        <v>84</v>
      </c>
      <c r="H26" s="11" t="n">
        <v>109.2</v>
      </c>
      <c r="I26" s="11">
        <f>IFERROR(H26-G26,"")</f>
        <v/>
      </c>
      <c r="J26" s="12">
        <f>IFERROR((H26-G26)/G26,"")</f>
        <v/>
      </c>
      <c r="K26" s="13">
        <f>IFERROR(IF(ABS(F26-$D$3)&lt;0.003,"OK","Divergente"),"—")</f>
        <v/>
      </c>
    </row>
    <row r="27">
      <c r="A27" s="7" t="n">
        <v>22</v>
      </c>
      <c r="B27" s="8" t="inlineStr">
        <is>
          <t>BÚFALA</t>
        </is>
      </c>
      <c r="C27" s="9" t="n">
        <v>46</v>
      </c>
      <c r="D27" s="9" t="n">
        <v>59.8</v>
      </c>
      <c r="E27" s="9">
        <f>IFERROR(D27-C27,"")</f>
        <v/>
      </c>
      <c r="F27" s="10">
        <f>IFERROR((D27-C27)/C27,"")</f>
        <v/>
      </c>
      <c r="G27" s="11" t="n">
        <v>75</v>
      </c>
      <c r="H27" s="11" t="n">
        <v>97.5</v>
      </c>
      <c r="I27" s="11">
        <f>IFERROR(H27-G27,"")</f>
        <v/>
      </c>
      <c r="J27" s="12">
        <f>IFERROR((H27-G27)/G27,"")</f>
        <v/>
      </c>
      <c r="K27" s="13">
        <f>IFERROR(IF(ABS(F27-$D$3)&lt;0.003,"OK","Divergente"),"—")</f>
        <v/>
      </c>
    </row>
    <row r="28">
      <c r="A28" s="7" t="n">
        <v>23</v>
      </c>
      <c r="B28" s="8" t="inlineStr">
        <is>
          <t>CAIPIRA</t>
        </is>
      </c>
      <c r="C28" s="9" t="n">
        <v>52</v>
      </c>
      <c r="D28" s="9" t="n">
        <v>67.59999999999999</v>
      </c>
      <c r="E28" s="9">
        <f>IFERROR(D28-C28,"")</f>
        <v/>
      </c>
      <c r="F28" s="10">
        <f>IFERROR((D28-C28)/C28,"")</f>
        <v/>
      </c>
      <c r="G28" s="11" t="n">
        <v>83</v>
      </c>
      <c r="H28" s="11" t="n">
        <v>107.9</v>
      </c>
      <c r="I28" s="11">
        <f>IFERROR(H28-G28,"")</f>
        <v/>
      </c>
      <c r="J28" s="12">
        <f>IFERROR((H28-G28)/G28,"")</f>
        <v/>
      </c>
      <c r="K28" s="13">
        <f>IFERROR(IF(ABS(F28-$D$3)&lt;0.003,"OK","Divergente"),"—")</f>
        <v/>
      </c>
    </row>
    <row r="29">
      <c r="A29" s="7" t="n">
        <v>24</v>
      </c>
      <c r="B29" s="8" t="inlineStr">
        <is>
          <t>CALABRESA</t>
        </is>
      </c>
      <c r="C29" s="9" t="n">
        <v>43</v>
      </c>
      <c r="D29" s="9" t="n">
        <v>55.9</v>
      </c>
      <c r="E29" s="9">
        <f>IFERROR(D29-C29,"")</f>
        <v/>
      </c>
      <c r="F29" s="10">
        <f>IFERROR((D29-C29)/C29,"")</f>
        <v/>
      </c>
      <c r="G29" s="11" t="n">
        <v>69</v>
      </c>
      <c r="H29" s="11" t="n">
        <v>89.7</v>
      </c>
      <c r="I29" s="11">
        <f>IFERROR(H29-G29,"")</f>
        <v/>
      </c>
      <c r="J29" s="12">
        <f>IFERROR((H29-G29)/G29,"")</f>
        <v/>
      </c>
      <c r="K29" s="13">
        <f>IFERROR(IF(ABS(F29-$D$3)&lt;0.003,"OK","Divergente"),"—")</f>
        <v/>
      </c>
    </row>
    <row r="30">
      <c r="A30" s="7" t="n">
        <v>25</v>
      </c>
      <c r="B30" s="8" t="inlineStr">
        <is>
          <t>CALACATÚ</t>
        </is>
      </c>
      <c r="C30" s="9" t="n">
        <v>52</v>
      </c>
      <c r="D30" s="9" t="n">
        <v>67.59999999999999</v>
      </c>
      <c r="E30" s="9">
        <f>IFERROR(D30-C30,"")</f>
        <v/>
      </c>
      <c r="F30" s="10">
        <f>IFERROR((D30-C30)/C30,"")</f>
        <v/>
      </c>
      <c r="G30" s="11" t="n">
        <v>83</v>
      </c>
      <c r="H30" s="11" t="n">
        <v>107.9</v>
      </c>
      <c r="I30" s="11">
        <f>IFERROR(H30-G30,"")</f>
        <v/>
      </c>
      <c r="J30" s="12">
        <f>IFERROR((H30-G30)/G30,"")</f>
        <v/>
      </c>
      <c r="K30" s="13">
        <f>IFERROR(IF(ABS(F30-$D$3)&lt;0.003,"OK","Divergente"),"—")</f>
        <v/>
      </c>
    </row>
    <row r="31">
      <c r="A31" s="7" t="n">
        <v>26</v>
      </c>
      <c r="B31" s="8" t="inlineStr">
        <is>
          <t>CAMARÃO</t>
        </is>
      </c>
      <c r="C31" s="9" t="n">
        <v>84</v>
      </c>
      <c r="D31" s="9" t="n">
        <v>109.2</v>
      </c>
      <c r="E31" s="9">
        <f>IFERROR(D31-C31,"")</f>
        <v/>
      </c>
      <c r="F31" s="10">
        <f>IFERROR((D31-C31)/C31,"")</f>
        <v/>
      </c>
      <c r="G31" s="11" t="n">
        <v>130</v>
      </c>
      <c r="H31" s="11" t="n">
        <v>169</v>
      </c>
      <c r="I31" s="11">
        <f>IFERROR(H31-G31,"")</f>
        <v/>
      </c>
      <c r="J31" s="12">
        <f>IFERROR((H31-G31)/G31,"")</f>
        <v/>
      </c>
      <c r="K31" s="13">
        <f>IFERROR(IF(ABS(F31-$D$3)&lt;0.003,"OK","Divergente"),"—")</f>
        <v/>
      </c>
    </row>
    <row r="32">
      <c r="A32" s="7" t="n">
        <v>27</v>
      </c>
      <c r="B32" s="8" t="inlineStr">
        <is>
          <t>CAPRICHOSA</t>
        </is>
      </c>
      <c r="C32" s="9" t="n">
        <v>55</v>
      </c>
      <c r="D32" s="9" t="n">
        <v>71.5</v>
      </c>
      <c r="E32" s="9">
        <f>IFERROR(D32-C32,"")</f>
        <v/>
      </c>
      <c r="F32" s="10">
        <f>IFERROR((D32-C32)/C32,"")</f>
        <v/>
      </c>
      <c r="G32" s="11" t="n">
        <v>89</v>
      </c>
      <c r="H32" s="11" t="n">
        <v>115.7</v>
      </c>
      <c r="I32" s="11">
        <f>IFERROR(H32-G32,"")</f>
        <v/>
      </c>
      <c r="J32" s="12">
        <f>IFERROR((H32-G32)/G32,"")</f>
        <v/>
      </c>
      <c r="K32" s="13">
        <f>IFERROR(IF(ABS(F32-$D$3)&lt;0.003,"OK","Divergente"),"—")</f>
        <v/>
      </c>
    </row>
    <row r="33">
      <c r="A33" s="7" t="n">
        <v>28</v>
      </c>
      <c r="B33" s="8" t="inlineStr">
        <is>
          <t>CARNE SECA</t>
        </is>
      </c>
      <c r="C33" s="9" t="n">
        <v>62</v>
      </c>
      <c r="D33" s="9" t="n">
        <v>80.59999999999999</v>
      </c>
      <c r="E33" s="9">
        <f>IFERROR(D33-C33,"")</f>
        <v/>
      </c>
      <c r="F33" s="10">
        <f>IFERROR((D33-C33)/C33,"")</f>
        <v/>
      </c>
      <c r="G33" s="11" t="n">
        <v>99</v>
      </c>
      <c r="H33" s="11" t="n">
        <v>128.7</v>
      </c>
      <c r="I33" s="11">
        <f>IFERROR(H33-G33,"")</f>
        <v/>
      </c>
      <c r="J33" s="12">
        <f>IFERROR((H33-G33)/G33,"")</f>
        <v/>
      </c>
      <c r="K33" s="13">
        <f>IFERROR(IF(ABS(F33-$D$3)&lt;0.003,"OK","Divergente"),"—")</f>
        <v/>
      </c>
    </row>
    <row r="34">
      <c r="A34" s="7" t="n">
        <v>29</v>
      </c>
      <c r="B34" s="8" t="inlineStr">
        <is>
          <t>CATUPIRY</t>
        </is>
      </c>
      <c r="C34" s="9" t="n">
        <v>45</v>
      </c>
      <c r="D34" s="9" t="n">
        <v>58.5</v>
      </c>
      <c r="E34" s="9">
        <f>IFERROR(D34-C34,"")</f>
        <v/>
      </c>
      <c r="F34" s="10">
        <f>IFERROR((D34-C34)/C34,"")</f>
        <v/>
      </c>
      <c r="G34" s="11" t="n">
        <v>70</v>
      </c>
      <c r="H34" s="11" t="n">
        <v>91</v>
      </c>
      <c r="I34" s="11">
        <f>IFERROR(H34-G34,"")</f>
        <v/>
      </c>
      <c r="J34" s="12">
        <f>IFERROR((H34-G34)/G34,"")</f>
        <v/>
      </c>
      <c r="K34" s="13">
        <f>IFERROR(IF(ABS(F34-$D$3)&lt;0.003,"OK","Divergente"),"—")</f>
        <v/>
      </c>
    </row>
    <row r="35">
      <c r="A35" s="7" t="n">
        <v>30</v>
      </c>
      <c r="B35" s="8" t="inlineStr">
        <is>
          <t>CLASSE ESPECIAL</t>
        </is>
      </c>
      <c r="C35" s="9" t="n">
        <v>45</v>
      </c>
      <c r="D35" s="9" t="n">
        <v>58.5</v>
      </c>
      <c r="E35" s="9">
        <f>IFERROR(D35-C35,"")</f>
        <v/>
      </c>
      <c r="F35" s="10">
        <f>IFERROR((D35-C35)/C35,"")</f>
        <v/>
      </c>
      <c r="G35" s="11" t="n">
        <v>70</v>
      </c>
      <c r="H35" s="11" t="n">
        <v>91</v>
      </c>
      <c r="I35" s="11">
        <f>IFERROR(H35-G35,"")</f>
        <v/>
      </c>
      <c r="J35" s="12">
        <f>IFERROR((H35-G35)/G35,"")</f>
        <v/>
      </c>
      <c r="K35" s="13">
        <f>IFERROR(IF(ABS(F35-$D$3)&lt;0.003,"OK","Divergente"),"—")</f>
        <v/>
      </c>
    </row>
    <row r="36">
      <c r="A36" s="7" t="n">
        <v>31</v>
      </c>
      <c r="B36" s="8" t="inlineStr">
        <is>
          <t>DO PIZZAIOLO</t>
        </is>
      </c>
      <c r="C36" s="9" t="n">
        <v>51</v>
      </c>
      <c r="D36" s="9" t="n">
        <v>66.3</v>
      </c>
      <c r="E36" s="9">
        <f>IFERROR(D36-C36,"")</f>
        <v/>
      </c>
      <c r="F36" s="10">
        <f>IFERROR((D36-C36)/C36,"")</f>
        <v/>
      </c>
      <c r="G36" s="11" t="n">
        <v>82</v>
      </c>
      <c r="H36" s="11" t="n">
        <v>106.6</v>
      </c>
      <c r="I36" s="11">
        <f>IFERROR(H36-G36,"")</f>
        <v/>
      </c>
      <c r="J36" s="12">
        <f>IFERROR((H36-G36)/G36,"")</f>
        <v/>
      </c>
      <c r="K36" s="13">
        <f>IFERROR(IF(ABS(F36-$D$3)&lt;0.003,"OK","Divergente"),"—")</f>
        <v/>
      </c>
    </row>
    <row r="37">
      <c r="A37" s="7" t="n">
        <v>32</v>
      </c>
      <c r="B37" s="8" t="inlineStr">
        <is>
          <t>ESCAROLA</t>
        </is>
      </c>
      <c r="C37" s="9" t="n">
        <v>45</v>
      </c>
      <c r="D37" s="9" t="n">
        <v>58.5</v>
      </c>
      <c r="E37" s="9">
        <f>IFERROR(D37-C37,"")</f>
        <v/>
      </c>
      <c r="F37" s="10">
        <f>IFERROR((D37-C37)/C37,"")</f>
        <v/>
      </c>
      <c r="G37" s="11" t="n">
        <v>70</v>
      </c>
      <c r="H37" s="11" t="n">
        <v>91</v>
      </c>
      <c r="I37" s="11">
        <f>IFERROR(H37-G37,"")</f>
        <v/>
      </c>
      <c r="J37" s="12">
        <f>IFERROR((H37-G37)/G37,"")</f>
        <v/>
      </c>
      <c r="K37" s="13">
        <f>IFERROR(IF(ABS(F37-$D$3)&lt;0.003,"OK","Divergente"),"—")</f>
        <v/>
      </c>
    </row>
    <row r="38">
      <c r="A38" s="7" t="n">
        <v>33</v>
      </c>
      <c r="B38" s="8" t="inlineStr">
        <is>
          <t>ESCAROLA ESPECIAL</t>
        </is>
      </c>
      <c r="C38" s="9" t="n">
        <v>51</v>
      </c>
      <c r="D38" s="9" t="n">
        <v>67.59999999999999</v>
      </c>
      <c r="E38" s="9">
        <f>IFERROR(D38-C38,"")</f>
        <v/>
      </c>
      <c r="F38" s="10">
        <f>IFERROR((D38-C38)/C38,"")</f>
        <v/>
      </c>
      <c r="G38" s="11" t="n">
        <v>82</v>
      </c>
      <c r="H38" s="11" t="n">
        <v>106.6</v>
      </c>
      <c r="I38" s="11">
        <f>IFERROR(H38-G38,"")</f>
        <v/>
      </c>
      <c r="J38" s="12">
        <f>IFERROR((H38-G38)/G38,"")</f>
        <v/>
      </c>
      <c r="K38" s="13">
        <f>IFERROR(IF(ABS(F38-$D$3)&lt;0.003,"OK","Divergente"),"—")</f>
        <v/>
      </c>
    </row>
    <row r="39">
      <c r="A39" s="7" t="n">
        <v>34</v>
      </c>
      <c r="B39" s="8" t="inlineStr">
        <is>
          <t>ESPANHOLA</t>
        </is>
      </c>
      <c r="C39" s="9" t="n">
        <v>62</v>
      </c>
      <c r="D39" s="9" t="n">
        <v>80.59999999999999</v>
      </c>
      <c r="E39" s="9">
        <f>IFERROR(D39-C39,"")</f>
        <v/>
      </c>
      <c r="F39" s="10">
        <f>IFERROR((D39-C39)/C39,"")</f>
        <v/>
      </c>
      <c r="G39" s="11" t="n">
        <v>99</v>
      </c>
      <c r="H39" s="11" t="n">
        <v>128.7</v>
      </c>
      <c r="I39" s="11">
        <f>IFERROR(H39-G39,"")</f>
        <v/>
      </c>
      <c r="J39" s="12">
        <f>IFERROR((H39-G39)/G39,"")</f>
        <v/>
      </c>
      <c r="K39" s="13">
        <f>IFERROR(IF(ABS(F39-$D$3)&lt;0.003,"OK","Divergente"),"—")</f>
        <v/>
      </c>
    </row>
    <row r="40">
      <c r="A40" s="7" t="n">
        <v>35</v>
      </c>
      <c r="B40" s="8" t="inlineStr">
        <is>
          <t>ESPECIAL</t>
        </is>
      </c>
      <c r="C40" s="9" t="n">
        <v>62</v>
      </c>
      <c r="D40" s="9" t="n">
        <v>80.59999999999999</v>
      </c>
      <c r="E40" s="9">
        <f>IFERROR(D40-C40,"")</f>
        <v/>
      </c>
      <c r="F40" s="10">
        <f>IFERROR((D40-C40)/C40,"")</f>
        <v/>
      </c>
      <c r="G40" s="11" t="n">
        <v>99</v>
      </c>
      <c r="H40" s="11" t="n">
        <v>128.7</v>
      </c>
      <c r="I40" s="11">
        <f>IFERROR(H40-G40,"")</f>
        <v/>
      </c>
      <c r="J40" s="12">
        <f>IFERROR((H40-G40)/G40,"")</f>
        <v/>
      </c>
      <c r="K40" s="13">
        <f>IFERROR(IF(ABS(F40-$D$3)&lt;0.003,"OK","Divergente"),"—")</f>
        <v/>
      </c>
    </row>
    <row r="41">
      <c r="A41" s="7" t="n">
        <v>36</v>
      </c>
      <c r="B41" s="8" t="inlineStr">
        <is>
          <t>EXECUTIVA</t>
        </is>
      </c>
      <c r="C41" s="9" t="n">
        <v>46</v>
      </c>
      <c r="D41" s="9" t="n">
        <v>59.8</v>
      </c>
      <c r="E41" s="9">
        <f>IFERROR(D41-C41,"")</f>
        <v/>
      </c>
      <c r="F41" s="10">
        <f>IFERROR((D41-C41)/C41,"")</f>
        <v/>
      </c>
      <c r="G41" s="11" t="n">
        <v>75</v>
      </c>
      <c r="H41" s="11" t="n">
        <v>97.5</v>
      </c>
      <c r="I41" s="11">
        <f>IFERROR(H41-G41,"")</f>
        <v/>
      </c>
      <c r="J41" s="12">
        <f>IFERROR((H41-G41)/G41,"")</f>
        <v/>
      </c>
      <c r="K41" s="13">
        <f>IFERROR(IF(ABS(F41-$D$3)&lt;0.003,"OK","Divergente"),"—")</f>
        <v/>
      </c>
    </row>
    <row r="42">
      <c r="A42" s="7" t="n">
        <v>37</v>
      </c>
      <c r="B42" s="8" t="inlineStr">
        <is>
          <t>FAVORITA</t>
        </is>
      </c>
      <c r="C42" s="9" t="n">
        <v>46</v>
      </c>
      <c r="D42" s="9" t="n">
        <v>59.8</v>
      </c>
      <c r="E42" s="9">
        <f>IFERROR(D42-C42,"")</f>
        <v/>
      </c>
      <c r="F42" s="10">
        <f>IFERROR((D42-C42)/C42,"")</f>
        <v/>
      </c>
      <c r="G42" s="11" t="n">
        <v>75</v>
      </c>
      <c r="H42" s="11" t="n">
        <v>97.5</v>
      </c>
      <c r="I42" s="11">
        <f>IFERROR(H42-G42,"")</f>
        <v/>
      </c>
      <c r="J42" s="12">
        <f>IFERROR((H42-G42)/G42,"")</f>
        <v/>
      </c>
      <c r="K42" s="13">
        <f>IFERROR(IF(ABS(F42-$D$3)&lt;0.003,"OK","Divergente"),"—")</f>
        <v/>
      </c>
    </row>
    <row r="43">
      <c r="A43" s="7" t="n">
        <v>38</v>
      </c>
      <c r="B43" s="8" t="inlineStr">
        <is>
          <t>FILÉ MIGNON</t>
        </is>
      </c>
      <c r="C43" s="9" t="n">
        <v>84</v>
      </c>
      <c r="D43" s="9" t="n">
        <v>109.2</v>
      </c>
      <c r="E43" s="9">
        <f>IFERROR(D43-C43,"")</f>
        <v/>
      </c>
      <c r="F43" s="10">
        <f>IFERROR((D43-C43)/C43,"")</f>
        <v/>
      </c>
      <c r="G43" s="11" t="n">
        <v>130</v>
      </c>
      <c r="H43" s="11" t="n">
        <v>169</v>
      </c>
      <c r="I43" s="11">
        <f>IFERROR(H43-G43,"")</f>
        <v/>
      </c>
      <c r="J43" s="12">
        <f>IFERROR((H43-G43)/G43,"")</f>
        <v/>
      </c>
      <c r="K43" s="13">
        <f>IFERROR(IF(ABS(F43-$D$3)&lt;0.003,"OK","Divergente"),"—")</f>
        <v/>
      </c>
    </row>
    <row r="44">
      <c r="A44" s="7" t="n">
        <v>39</v>
      </c>
      <c r="B44" s="8" t="inlineStr">
        <is>
          <t>FRANGO CATUPIRY</t>
        </is>
      </c>
      <c r="C44" s="9" t="n">
        <v>49</v>
      </c>
      <c r="D44" s="9" t="n">
        <v>63.7</v>
      </c>
      <c r="E44" s="9">
        <f>IFERROR(D44-C44,"")</f>
        <v/>
      </c>
      <c r="F44" s="10">
        <f>IFERROR((D44-C44)/C44,"")</f>
        <v/>
      </c>
      <c r="G44" s="11" t="n">
        <v>79</v>
      </c>
      <c r="H44" s="11" t="n">
        <v>102.7</v>
      </c>
      <c r="I44" s="11">
        <f>IFERROR(H44-G44,"")</f>
        <v/>
      </c>
      <c r="J44" s="12">
        <f>IFERROR((H44-G44)/G44,"")</f>
        <v/>
      </c>
      <c r="K44" s="13">
        <f>IFERROR(IF(ABS(F44-$D$3)&lt;0.003,"OK","Divergente"),"—")</f>
        <v/>
      </c>
    </row>
    <row r="45">
      <c r="A45" s="7" t="n">
        <v>40</v>
      </c>
      <c r="B45" s="8" t="inlineStr">
        <is>
          <t>FRANGO ESPECIAL</t>
        </is>
      </c>
      <c r="C45" s="9" t="n">
        <v>53</v>
      </c>
      <c r="D45" s="9" t="n">
        <v>68.90000000000001</v>
      </c>
      <c r="E45" s="9">
        <f>IFERROR(D45-C45,"")</f>
        <v/>
      </c>
      <c r="F45" s="10">
        <f>IFERROR((D45-C45)/C45,"")</f>
        <v/>
      </c>
      <c r="G45" s="11" t="n">
        <v>85</v>
      </c>
      <c r="H45" s="11" t="n">
        <v>110.5</v>
      </c>
      <c r="I45" s="11">
        <f>IFERROR(H45-G45,"")</f>
        <v/>
      </c>
      <c r="J45" s="12">
        <f>IFERROR((H45-G45)/G45,"")</f>
        <v/>
      </c>
      <c r="K45" s="13">
        <f>IFERROR(IF(ABS(F45-$D$3)&lt;0.003,"OK","Divergente"),"—")</f>
        <v/>
      </c>
    </row>
    <row r="46">
      <c r="A46" s="7" t="n">
        <v>41</v>
      </c>
      <c r="B46" s="8" t="inlineStr">
        <is>
          <t>JARDINEIRA</t>
        </is>
      </c>
      <c r="C46" s="9" t="n">
        <v>46</v>
      </c>
      <c r="D46" s="9" t="n">
        <v>59.8</v>
      </c>
      <c r="E46" s="9">
        <f>IFERROR(D46-C46,"")</f>
        <v/>
      </c>
      <c r="F46" s="10">
        <f>IFERROR((D46-C46)/C46,"")</f>
        <v/>
      </c>
      <c r="G46" s="11" t="n">
        <v>75</v>
      </c>
      <c r="H46" s="11" t="n">
        <v>97.5</v>
      </c>
      <c r="I46" s="11">
        <f>IFERROR(H46-G46,"")</f>
        <v/>
      </c>
      <c r="J46" s="12">
        <f>IFERROR((H46-G46)/G46,"")</f>
        <v/>
      </c>
      <c r="K46" s="13">
        <f>IFERROR(IF(ABS(F46-$D$3)&lt;0.003,"OK","Divergente"),"—")</f>
        <v/>
      </c>
    </row>
    <row r="47">
      <c r="A47" s="7" t="n">
        <v>42</v>
      </c>
      <c r="B47" s="8" t="inlineStr">
        <is>
          <t>LIGHT</t>
        </is>
      </c>
      <c r="C47" s="9" t="n">
        <v>62</v>
      </c>
      <c r="D47" s="9" t="n">
        <v>80.59999999999999</v>
      </c>
      <c r="E47" s="9">
        <f>IFERROR(D47-C47,"")</f>
        <v/>
      </c>
      <c r="F47" s="10">
        <f>IFERROR((D47-C47)/C47,"")</f>
        <v/>
      </c>
      <c r="G47" s="11" t="n">
        <v>99</v>
      </c>
      <c r="H47" s="11" t="n">
        <v>128.7</v>
      </c>
      <c r="I47" s="11">
        <f>IFERROR(H47-G47,"")</f>
        <v/>
      </c>
      <c r="J47" s="12">
        <f>IFERROR((H47-G47)/G47,"")</f>
        <v/>
      </c>
      <c r="K47" s="13">
        <f>IFERROR(IF(ABS(F47-$D$3)&lt;0.003,"OK","Divergente"),"—")</f>
        <v/>
      </c>
    </row>
    <row r="48">
      <c r="A48" s="7" t="n">
        <v>43</v>
      </c>
      <c r="B48" s="8" t="inlineStr">
        <is>
          <t>LOMBO</t>
        </is>
      </c>
      <c r="C48" s="9" t="n">
        <v>43</v>
      </c>
      <c r="D48" s="9" t="n">
        <v>55.9</v>
      </c>
      <c r="E48" s="9">
        <f>IFERROR(D48-C48,"")</f>
        <v/>
      </c>
      <c r="F48" s="10">
        <f>IFERROR((D48-C48)/C48,"")</f>
        <v/>
      </c>
      <c r="G48" s="11" t="n">
        <v>69</v>
      </c>
      <c r="H48" s="11" t="n">
        <v>89.7</v>
      </c>
      <c r="I48" s="11">
        <f>IFERROR(H48-G48,"")</f>
        <v/>
      </c>
      <c r="J48" s="12">
        <f>IFERROR((H48-G48)/G48,"")</f>
        <v/>
      </c>
      <c r="K48" s="13">
        <f>IFERROR(IF(ABS(F48-$D$3)&lt;0.003,"OK","Divergente"),"—")</f>
        <v/>
      </c>
    </row>
    <row r="49">
      <c r="A49" s="7" t="n">
        <v>44</v>
      </c>
      <c r="B49" s="8" t="inlineStr">
        <is>
          <t>LOMBO II</t>
        </is>
      </c>
      <c r="C49" s="9" t="n">
        <v>52</v>
      </c>
      <c r="D49" s="9" t="n">
        <v>67.59999999999999</v>
      </c>
      <c r="E49" s="9">
        <f>IFERROR(D49-C49,"")</f>
        <v/>
      </c>
      <c r="F49" s="10">
        <f>IFERROR((D49-C49)/C49,"")</f>
        <v/>
      </c>
      <c r="G49" s="11" t="n">
        <v>84</v>
      </c>
      <c r="H49" s="11" t="n">
        <v>109.2</v>
      </c>
      <c r="I49" s="11">
        <f>IFERROR(H49-G49,"")</f>
        <v/>
      </c>
      <c r="J49" s="12">
        <f>IFERROR((H49-G49)/G49,"")</f>
        <v/>
      </c>
      <c r="K49" s="13">
        <f>IFERROR(IF(ABS(F49-$D$3)&lt;0.003,"OK","Divergente"),"—")</f>
        <v/>
      </c>
    </row>
    <row r="50">
      <c r="A50" s="7" t="n">
        <v>45</v>
      </c>
      <c r="B50" s="8" t="inlineStr">
        <is>
          <t>MARGUERITA</t>
        </is>
      </c>
      <c r="C50" s="9" t="n">
        <v>46</v>
      </c>
      <c r="D50" s="9" t="n">
        <v>59.8</v>
      </c>
      <c r="E50" s="9">
        <f>IFERROR(D50-C50,"")</f>
        <v/>
      </c>
      <c r="F50" s="10">
        <f>IFERROR((D50-C50)/C50,"")</f>
        <v/>
      </c>
      <c r="G50" s="11" t="n">
        <v>75</v>
      </c>
      <c r="H50" s="11" t="n">
        <v>97.5</v>
      </c>
      <c r="I50" s="11">
        <f>IFERROR(H50-G50,"")</f>
        <v/>
      </c>
      <c r="J50" s="12">
        <f>IFERROR((H50-G50)/G50,"")</f>
        <v/>
      </c>
      <c r="K50" s="13">
        <f>IFERROR(IF(ABS(F50-$D$3)&lt;0.003,"OK","Divergente"),"—")</f>
        <v/>
      </c>
    </row>
    <row r="51">
      <c r="A51" s="7" t="n">
        <v>46</v>
      </c>
      <c r="B51" s="8" t="inlineStr">
        <is>
          <t>MARGUERITA ESPECIAL</t>
        </is>
      </c>
      <c r="C51" s="9" t="n">
        <v>62</v>
      </c>
      <c r="D51" s="9" t="n">
        <v>80.59999999999999</v>
      </c>
      <c r="E51" s="9">
        <f>IFERROR(D51-C51,"")</f>
        <v/>
      </c>
      <c r="F51" s="10">
        <f>IFERROR((D51-C51)/C51,"")</f>
        <v/>
      </c>
      <c r="G51" s="11" t="n">
        <v>99</v>
      </c>
      <c r="H51" s="11" t="n">
        <v>128.7</v>
      </c>
      <c r="I51" s="11">
        <f>IFERROR(H51-G51,"")</f>
        <v/>
      </c>
      <c r="J51" s="12">
        <f>IFERROR((H51-G51)/G51,"")</f>
        <v/>
      </c>
      <c r="K51" s="13">
        <f>IFERROR(IF(ABS(F51-$D$3)&lt;0.003,"OK","Divergente"),"—")</f>
        <v/>
      </c>
    </row>
    <row r="52">
      <c r="A52" s="7" t="n">
        <v>47</v>
      </c>
      <c r="B52" s="8" t="inlineStr">
        <is>
          <t>MILHO</t>
        </is>
      </c>
      <c r="C52" s="9" t="n">
        <v>46</v>
      </c>
      <c r="D52" s="9" t="n">
        <v>59.8</v>
      </c>
      <c r="E52" s="9">
        <f>IFERROR(D52-C52,"")</f>
        <v/>
      </c>
      <c r="F52" s="10">
        <f>IFERROR((D52-C52)/C52,"")</f>
        <v/>
      </c>
      <c r="G52" s="11" t="n">
        <v>75</v>
      </c>
      <c r="H52" s="11" t="n">
        <v>97.5</v>
      </c>
      <c r="I52" s="11">
        <f>IFERROR(H52-G52,"")</f>
        <v/>
      </c>
      <c r="J52" s="12">
        <f>IFERROR((H52-G52)/G52,"")</f>
        <v/>
      </c>
      <c r="K52" s="13">
        <f>IFERROR(IF(ABS(F52-$D$3)&lt;0.003,"OK","Divergente"),"—")</f>
        <v/>
      </c>
    </row>
    <row r="53">
      <c r="A53" s="7" t="n">
        <v>48</v>
      </c>
      <c r="B53" s="8" t="inlineStr">
        <is>
          <t>MISTA</t>
        </is>
      </c>
      <c r="C53" s="9" t="n">
        <v>45</v>
      </c>
      <c r="D53" s="9" t="n">
        <v>58.5</v>
      </c>
      <c r="E53" s="9">
        <f>IFERROR(D53-C53,"")</f>
        <v/>
      </c>
      <c r="F53" s="10">
        <f>IFERROR((D53-C53)/C53,"")</f>
        <v/>
      </c>
      <c r="G53" s="11" t="n">
        <v>70</v>
      </c>
      <c r="H53" s="11" t="n">
        <v>91</v>
      </c>
      <c r="I53" s="11">
        <f>IFERROR(H53-G53,"")</f>
        <v/>
      </c>
      <c r="J53" s="12">
        <f>IFERROR((H53-G53)/G53,"")</f>
        <v/>
      </c>
      <c r="K53" s="13">
        <f>IFERROR(IF(ABS(F53-$D$3)&lt;0.003,"OK","Divergente"),"—")</f>
        <v/>
      </c>
    </row>
    <row r="54">
      <c r="A54" s="7" t="n">
        <v>49</v>
      </c>
      <c r="B54" s="8" t="inlineStr">
        <is>
          <t>MUSSARELA</t>
        </is>
      </c>
      <c r="C54" s="9" t="n">
        <v>43</v>
      </c>
      <c r="D54" s="9" t="n">
        <v>55.9</v>
      </c>
      <c r="E54" s="9">
        <f>IFERROR(D54-C54,"")</f>
        <v/>
      </c>
      <c r="F54" s="10">
        <f>IFERROR((D54-C54)/C54,"")</f>
        <v/>
      </c>
      <c r="G54" s="11" t="n">
        <v>69</v>
      </c>
      <c r="H54" s="11" t="n">
        <v>89.7</v>
      </c>
      <c r="I54" s="11">
        <f>IFERROR(H54-G54,"")</f>
        <v/>
      </c>
      <c r="J54" s="12">
        <f>IFERROR((H54-G54)/G54,"")</f>
        <v/>
      </c>
      <c r="K54" s="13">
        <f>IFERROR(IF(ABS(F54-$D$3)&lt;0.003,"OK","Divergente"),"—")</f>
        <v/>
      </c>
    </row>
    <row r="55">
      <c r="A55" s="7" t="n">
        <v>50</v>
      </c>
      <c r="B55" s="8" t="inlineStr">
        <is>
          <t>NAPOLITANA</t>
        </is>
      </c>
      <c r="C55" s="9" t="n">
        <v>45</v>
      </c>
      <c r="D55" s="9" t="n">
        <v>58.5</v>
      </c>
      <c r="E55" s="9">
        <f>IFERROR(D55-C55,"")</f>
        <v/>
      </c>
      <c r="F55" s="10">
        <f>IFERROR((D55-C55)/C55,"")</f>
        <v/>
      </c>
      <c r="G55" s="11" t="n">
        <v>72</v>
      </c>
      <c r="H55" s="11" t="n">
        <v>93.59999999999999</v>
      </c>
      <c r="I55" s="11">
        <f>IFERROR(H55-G55,"")</f>
        <v/>
      </c>
      <c r="J55" s="12">
        <f>IFERROR((H55-G55)/G55,"")</f>
        <v/>
      </c>
      <c r="K55" s="13">
        <f>IFERROR(IF(ABS(F55-$D$3)&lt;0.003,"OK","Divergente"),"—")</f>
        <v/>
      </c>
    </row>
    <row r="56">
      <c r="A56" s="7" t="n">
        <v>51</v>
      </c>
      <c r="B56" s="8" t="inlineStr">
        <is>
          <t>PALMITO</t>
        </is>
      </c>
      <c r="C56" s="9" t="n">
        <v>60</v>
      </c>
      <c r="D56" s="9" t="n">
        <v>78</v>
      </c>
      <c r="E56" s="9">
        <f>IFERROR(D56-C56,"")</f>
        <v/>
      </c>
      <c r="F56" s="10">
        <f>IFERROR((D56-C56)/C56,"")</f>
        <v/>
      </c>
      <c r="G56" s="11" t="n">
        <v>94</v>
      </c>
      <c r="H56" s="11" t="n">
        <v>122.2</v>
      </c>
      <c r="I56" s="11">
        <f>IFERROR(H56-G56,"")</f>
        <v/>
      </c>
      <c r="J56" s="12">
        <f>IFERROR((H56-G56)/G56,"")</f>
        <v/>
      </c>
      <c r="K56" s="13">
        <f>IFERROR(IF(ABS(F56-$D$3)&lt;0.003,"OK","Divergente"),"—")</f>
        <v/>
      </c>
    </row>
    <row r="57">
      <c r="A57" s="7" t="n">
        <v>52</v>
      </c>
      <c r="B57" s="8" t="inlineStr">
        <is>
          <t>PEPPERONE</t>
        </is>
      </c>
      <c r="C57" s="9" t="n">
        <v>52</v>
      </c>
      <c r="D57" s="9" t="n">
        <v>67.59999999999999</v>
      </c>
      <c r="E57" s="9">
        <f>IFERROR(D57-C57,"")</f>
        <v/>
      </c>
      <c r="F57" s="10">
        <f>IFERROR((D57-C57)/C57,"")</f>
        <v/>
      </c>
      <c r="G57" s="11" t="n">
        <v>84</v>
      </c>
      <c r="H57" s="11" t="n">
        <v>109.2</v>
      </c>
      <c r="I57" s="11">
        <f>IFERROR(H57-G57,"")</f>
        <v/>
      </c>
      <c r="J57" s="12">
        <f>IFERROR((H57-G57)/G57,"")</f>
        <v/>
      </c>
      <c r="K57" s="13">
        <f>IFERROR(IF(ABS(F57-$D$3)&lt;0.003,"OK","Divergente"),"—")</f>
        <v/>
      </c>
    </row>
    <row r="58">
      <c r="A58" s="7" t="n">
        <v>53</v>
      </c>
      <c r="B58" s="8" t="inlineStr">
        <is>
          <t>PERUANA</t>
        </is>
      </c>
      <c r="C58" s="9" t="n">
        <v>62</v>
      </c>
      <c r="D58" s="9" t="n">
        <v>80.59999999999999</v>
      </c>
      <c r="E58" s="9">
        <f>IFERROR(D58-C58,"")</f>
        <v/>
      </c>
      <c r="F58" s="10">
        <f>IFERROR((D58-C58)/C58,"")</f>
        <v/>
      </c>
      <c r="G58" s="11" t="n">
        <v>99</v>
      </c>
      <c r="H58" s="11" t="n">
        <v>128.7</v>
      </c>
      <c r="I58" s="11">
        <f>IFERROR(H58-G58,"")</f>
        <v/>
      </c>
      <c r="J58" s="12">
        <f>IFERROR((H58-G58)/G58,"")</f>
        <v/>
      </c>
      <c r="K58" s="13">
        <f>IFERROR(IF(ABS(F58-$D$3)&lt;0.003,"OK","Divergente"),"—")</f>
        <v/>
      </c>
    </row>
    <row r="59">
      <c r="A59" s="7" t="n">
        <v>54</v>
      </c>
      <c r="B59" s="8" t="inlineStr">
        <is>
          <t>PORTUGUESA</t>
        </is>
      </c>
      <c r="C59" s="9" t="n">
        <v>46</v>
      </c>
      <c r="D59" s="9" t="n">
        <v>59.8</v>
      </c>
      <c r="E59" s="9">
        <f>IFERROR(D59-C59,"")</f>
        <v/>
      </c>
      <c r="F59" s="10">
        <f>IFERROR((D59-C59)/C59,"")</f>
        <v/>
      </c>
      <c r="G59" s="11" t="n">
        <v>75</v>
      </c>
      <c r="H59" s="11" t="n">
        <v>97.5</v>
      </c>
      <c r="I59" s="11">
        <f>IFERROR(H59-G59,"")</f>
        <v/>
      </c>
      <c r="J59" s="12">
        <f>IFERROR((H59-G59)/G59,"")</f>
        <v/>
      </c>
      <c r="K59" s="13">
        <f>IFERROR(IF(ABS(F59-$D$3)&lt;0.003,"OK","Divergente"),"—")</f>
        <v/>
      </c>
    </row>
    <row r="60">
      <c r="A60" s="7" t="n">
        <v>55</v>
      </c>
      <c r="B60" s="8" t="inlineStr">
        <is>
          <t>PORTUGUESA II</t>
        </is>
      </c>
      <c r="C60" s="9" t="n">
        <v>61</v>
      </c>
      <c r="D60" s="9" t="n">
        <v>79.3</v>
      </c>
      <c r="E60" s="9">
        <f>IFERROR(D60-C60,"")</f>
        <v/>
      </c>
      <c r="F60" s="10">
        <f>IFERROR((D60-C60)/C60,"")</f>
        <v/>
      </c>
      <c r="G60" s="11" t="n">
        <v>95</v>
      </c>
      <c r="H60" s="11" t="n">
        <v>123.5</v>
      </c>
      <c r="I60" s="11">
        <f>IFERROR(H60-G60,"")</f>
        <v/>
      </c>
      <c r="J60" s="12">
        <f>IFERROR((H60-G60)/G60,"")</f>
        <v/>
      </c>
      <c r="K60" s="13">
        <f>IFERROR(IF(ABS(F60-$D$3)&lt;0.003,"OK","Divergente"),"—")</f>
        <v/>
      </c>
    </row>
    <row r="61">
      <c r="A61" s="7" t="n">
        <v>56</v>
      </c>
      <c r="B61" s="8" t="inlineStr">
        <is>
          <t>PRIMEIRA CLASSE</t>
        </is>
      </c>
      <c r="C61" s="9" t="n">
        <v>46</v>
      </c>
      <c r="D61" s="9" t="n">
        <v>59.8</v>
      </c>
      <c r="E61" s="9">
        <f>IFERROR(D61-C61,"")</f>
        <v/>
      </c>
      <c r="F61" s="10">
        <f>IFERROR((D61-C61)/C61,"")</f>
        <v/>
      </c>
      <c r="G61" s="11" t="n">
        <v>75</v>
      </c>
      <c r="H61" s="11" t="n">
        <v>97.5</v>
      </c>
      <c r="I61" s="11">
        <f>IFERROR(H61-G61,"")</f>
        <v/>
      </c>
      <c r="J61" s="12">
        <f>IFERROR((H61-G61)/G61,"")</f>
        <v/>
      </c>
      <c r="K61" s="13">
        <f>IFERROR(IF(ABS(F61-$D$3)&lt;0.003,"OK","Divergente"),"—")</f>
        <v/>
      </c>
    </row>
    <row r="62">
      <c r="A62" s="7" t="n">
        <v>57</v>
      </c>
      <c r="B62" s="8" t="inlineStr">
        <is>
          <t>ROMANA</t>
        </is>
      </c>
      <c r="C62" s="9" t="n">
        <v>65</v>
      </c>
      <c r="D62" s="9" t="n">
        <v>84.5</v>
      </c>
      <c r="E62" s="9">
        <f>IFERROR(D62-C62,"")</f>
        <v/>
      </c>
      <c r="F62" s="10">
        <f>IFERROR((D62-C62)/C62,"")</f>
        <v/>
      </c>
      <c r="G62" s="11" t="n">
        <v>105</v>
      </c>
      <c r="H62" s="11" t="n">
        <v>136.5</v>
      </c>
      <c r="I62" s="11">
        <f>IFERROR(H62-G62,"")</f>
        <v/>
      </c>
      <c r="J62" s="12">
        <f>IFERROR((H62-G62)/G62,"")</f>
        <v/>
      </c>
      <c r="K62" s="13">
        <f>IFERROR(IF(ABS(F62-$D$3)&lt;0.003,"OK","Divergente"),"—")</f>
        <v/>
      </c>
    </row>
    <row r="63">
      <c r="A63" s="7" t="n">
        <v>58</v>
      </c>
      <c r="B63" s="8" t="inlineStr">
        <is>
          <t>RÚCULA</t>
        </is>
      </c>
      <c r="C63" s="9" t="n">
        <v>61</v>
      </c>
      <c r="D63" s="9" t="n">
        <v>79.3</v>
      </c>
      <c r="E63" s="9">
        <f>IFERROR(D63-C63,"")</f>
        <v/>
      </c>
      <c r="F63" s="10">
        <f>IFERROR((D63-C63)/C63,"")</f>
        <v/>
      </c>
      <c r="G63" s="11" t="n">
        <v>95</v>
      </c>
      <c r="H63" s="11" t="n">
        <v>123.5</v>
      </c>
      <c r="I63" s="11">
        <f>IFERROR(H63-G63,"")</f>
        <v/>
      </c>
      <c r="J63" s="12">
        <f>IFERROR((H63-G63)/G63,"")</f>
        <v/>
      </c>
      <c r="K63" s="13">
        <f>IFERROR(IF(ABS(F63-$D$3)&lt;0.003,"OK","Divergente"),"—")</f>
        <v/>
      </c>
    </row>
    <row r="64">
      <c r="A64" s="7" t="n">
        <v>59</v>
      </c>
      <c r="B64" s="8" t="inlineStr">
        <is>
          <t>SICILIANA</t>
        </is>
      </c>
      <c r="C64" s="9" t="n">
        <v>52</v>
      </c>
      <c r="D64" s="9" t="n">
        <v>67.59999999999999</v>
      </c>
      <c r="E64" s="9">
        <f>IFERROR(D64-C64,"")</f>
        <v/>
      </c>
      <c r="F64" s="10">
        <f>IFERROR((D64-C64)/C64,"")</f>
        <v/>
      </c>
      <c r="G64" s="11" t="n">
        <v>84</v>
      </c>
      <c r="H64" s="11" t="n">
        <v>109.2</v>
      </c>
      <c r="I64" s="11">
        <f>IFERROR(H64-G64,"")</f>
        <v/>
      </c>
      <c r="J64" s="12">
        <f>IFERROR((H64-G64)/G64,"")</f>
        <v/>
      </c>
      <c r="K64" s="13">
        <f>IFERROR(IF(ABS(F64-$D$3)&lt;0.003,"OK","Divergente"),"—")</f>
        <v/>
      </c>
    </row>
    <row r="65">
      <c r="A65" s="7" t="n">
        <v>60</v>
      </c>
      <c r="B65" s="8" t="inlineStr">
        <is>
          <t>STROGONOFF</t>
        </is>
      </c>
      <c r="C65" s="9" t="n">
        <v>75</v>
      </c>
      <c r="D65" s="9" t="n">
        <v>97.5</v>
      </c>
      <c r="E65" s="9">
        <f>IFERROR(D65-C65,"")</f>
        <v/>
      </c>
      <c r="F65" s="10">
        <f>IFERROR((D65-C65)/C65,"")</f>
        <v/>
      </c>
      <c r="G65" s="11" t="n">
        <v>120</v>
      </c>
      <c r="H65" s="11" t="n">
        <v>156</v>
      </c>
      <c r="I65" s="11">
        <f>IFERROR(H65-G65,"")</f>
        <v/>
      </c>
      <c r="J65" s="12">
        <f>IFERROR((H65-G65)/G65,"")</f>
        <v/>
      </c>
      <c r="K65" s="13">
        <f>IFERROR(IF(ABS(F65-$D$3)&lt;0.003,"OK","Divergente"),"—")</f>
        <v/>
      </c>
    </row>
    <row r="66">
      <c r="A66" s="7" t="n">
        <v>61</v>
      </c>
      <c r="B66" s="8" t="inlineStr">
        <is>
          <t>TOMATE SECO</t>
        </is>
      </c>
      <c r="C66" s="9" t="n">
        <v>46</v>
      </c>
      <c r="D66" s="9" t="n">
        <v>59.8</v>
      </c>
      <c r="E66" s="9">
        <f>IFERROR(D66-C66,"")</f>
        <v/>
      </c>
      <c r="F66" s="10">
        <f>IFERROR((D66-C66)/C66,"")</f>
        <v/>
      </c>
      <c r="G66" s="11" t="n">
        <v>75</v>
      </c>
      <c r="H66" s="11" t="n">
        <v>97.5</v>
      </c>
      <c r="I66" s="11">
        <f>IFERROR(H66-G66,"")</f>
        <v/>
      </c>
      <c r="J66" s="12">
        <f>IFERROR((H66-G66)/G66,"")</f>
        <v/>
      </c>
      <c r="K66" s="13">
        <f>IFERROR(IF(ABS(F66-$D$3)&lt;0.003,"OK","Divergente"),"—")</f>
        <v/>
      </c>
    </row>
    <row r="67">
      <c r="A67" s="7" t="n">
        <v>62</v>
      </c>
      <c r="B67" s="8" t="inlineStr">
        <is>
          <t>TOSCANA</t>
        </is>
      </c>
      <c r="C67" s="9" t="n">
        <v>49</v>
      </c>
      <c r="D67" s="9" t="n">
        <v>63.7</v>
      </c>
      <c r="E67" s="9">
        <f>IFERROR(D67-C67,"")</f>
        <v/>
      </c>
      <c r="F67" s="10">
        <f>IFERROR((D67-C67)/C67,"")</f>
        <v/>
      </c>
      <c r="G67" s="11" t="n">
        <v>80</v>
      </c>
      <c r="H67" s="11" t="n">
        <v>104</v>
      </c>
      <c r="I67" s="11">
        <f>IFERROR(H67-G67,"")</f>
        <v/>
      </c>
      <c r="J67" s="12">
        <f>IFERROR((H67-G67)/G67,"")</f>
        <v/>
      </c>
      <c r="K67" s="13">
        <f>IFERROR(IF(ABS(F67-$D$3)&lt;0.003,"OK","Divergente"),"—")</f>
        <v/>
      </c>
    </row>
    <row r="68">
      <c r="A68" s="7" t="n">
        <v>63</v>
      </c>
      <c r="B68" s="8" t="inlineStr">
        <is>
          <t>VEGETARIANA</t>
        </is>
      </c>
      <c r="C68" s="9" t="n">
        <v>56</v>
      </c>
      <c r="D68" s="9" t="n">
        <v>72.8</v>
      </c>
      <c r="E68" s="9">
        <f>IFERROR(D68-C68,"")</f>
        <v/>
      </c>
      <c r="F68" s="10">
        <f>IFERROR((D68-C68)/C68,"")</f>
        <v/>
      </c>
      <c r="G68" s="11" t="n">
        <v>90</v>
      </c>
      <c r="H68" s="11" t="n">
        <v>117</v>
      </c>
      <c r="I68" s="11">
        <f>IFERROR(H68-G68,"")</f>
        <v/>
      </c>
      <c r="J68" s="12">
        <f>IFERROR((H68-G68)/G68,"")</f>
        <v/>
      </c>
      <c r="K68" s="13">
        <f>IFERROR(IF(ABS(F68-$D$3)&lt;0.003,"OK","Divergente"),"—")</f>
        <v/>
      </c>
    </row>
    <row r="69">
      <c r="A69" s="6" t="inlineStr">
        <is>
          <t>PIZZAS DOCES / SOBREMESA</t>
        </is>
      </c>
    </row>
    <row r="70">
      <c r="A70" s="7" t="n">
        <v>64</v>
      </c>
      <c r="B70" s="8" t="inlineStr">
        <is>
          <t>BANANA</t>
        </is>
      </c>
      <c r="C70" s="9" t="n">
        <v>37</v>
      </c>
      <c r="D70" s="9" t="n">
        <v>48.1</v>
      </c>
      <c r="E70" s="9">
        <f>IFERROR(D70-C70,"")</f>
        <v/>
      </c>
      <c r="F70" s="10">
        <f>IFERROR((D70-C70)/C70,"")</f>
        <v/>
      </c>
      <c r="G70" s="11" t="n">
        <v>60</v>
      </c>
      <c r="H70" s="11" t="n">
        <v>78</v>
      </c>
      <c r="I70" s="11">
        <f>IFERROR(H70-G70,"")</f>
        <v/>
      </c>
      <c r="J70" s="12">
        <f>IFERROR((H70-G70)/G70,"")</f>
        <v/>
      </c>
      <c r="K70" s="13">
        <f>IFERROR(IF(ABS(F70-$D$3)&lt;0.003,"OK","Divergente"),"—")</f>
        <v/>
      </c>
    </row>
    <row r="71">
      <c r="A71" s="7" t="n">
        <v>65</v>
      </c>
      <c r="B71" s="8" t="inlineStr">
        <is>
          <t>BRIGADEIRO</t>
        </is>
      </c>
      <c r="C71" s="9" t="n">
        <v>37</v>
      </c>
      <c r="D71" s="9" t="n">
        <v>48.1</v>
      </c>
      <c r="E71" s="9">
        <f>IFERROR(D71-C71,"")</f>
        <v/>
      </c>
      <c r="F71" s="10">
        <f>IFERROR((D71-C71)/C71,"")</f>
        <v/>
      </c>
      <c r="G71" s="11" t="n">
        <v>60</v>
      </c>
      <c r="H71" s="11" t="n">
        <v>78</v>
      </c>
      <c r="I71" s="11">
        <f>IFERROR(H71-G71,"")</f>
        <v/>
      </c>
      <c r="J71" s="12">
        <f>IFERROR((H71-G71)/G71,"")</f>
        <v/>
      </c>
      <c r="K71" s="13">
        <f>IFERROR(IF(ABS(F71-$D$3)&lt;0.003,"OK","Divergente"),"—")</f>
        <v/>
      </c>
    </row>
    <row r="72">
      <c r="A72" s="7" t="n">
        <v>66</v>
      </c>
      <c r="B72" s="8" t="inlineStr">
        <is>
          <t>ROMEU E JULIETA</t>
        </is>
      </c>
      <c r="C72" s="9" t="n">
        <v>37</v>
      </c>
      <c r="D72" s="9" t="n">
        <v>48.1</v>
      </c>
      <c r="E72" s="9">
        <f>IFERROR(D72-C72,"")</f>
        <v/>
      </c>
      <c r="F72" s="10">
        <f>IFERROR((D72-C72)/C72,"")</f>
        <v/>
      </c>
      <c r="G72" s="11" t="n">
        <v>60</v>
      </c>
      <c r="H72" s="11" t="n">
        <v>78</v>
      </c>
      <c r="I72" s="11">
        <f>IFERROR(H72-G72,"")</f>
        <v/>
      </c>
      <c r="J72" s="12">
        <f>IFERROR((H72-G72)/G72,"")</f>
        <v/>
      </c>
      <c r="K72" s="13">
        <f>IFERROR(IF(ABS(F72-$D$3)&lt;0.003,"OK","Divergente"),"—")</f>
        <v/>
      </c>
    </row>
    <row r="73">
      <c r="A73" s="7" t="n">
        <v>67</v>
      </c>
      <c r="B73" s="8" t="inlineStr">
        <is>
          <t>CHOCOLATE COM MORANGO</t>
        </is>
      </c>
      <c r="C73" s="9" t="n">
        <v>44</v>
      </c>
      <c r="D73" s="9" t="n">
        <v>57.2</v>
      </c>
      <c r="E73" s="9">
        <f>IFERROR(D73-C73,"")</f>
        <v/>
      </c>
      <c r="F73" s="10">
        <f>IFERROR((D73-C73)/C73,"")</f>
        <v/>
      </c>
      <c r="G73" s="11" t="n">
        <v>70</v>
      </c>
      <c r="H73" s="11" t="n">
        <v>91</v>
      </c>
      <c r="I73" s="11">
        <f>IFERROR(H73-G73,"")</f>
        <v/>
      </c>
      <c r="J73" s="12">
        <f>IFERROR((H73-G73)/G73,"")</f>
        <v/>
      </c>
      <c r="K73" s="13">
        <f>IFERROR(IF(ABS(F73-$D$3)&lt;0.003,"OK","Divergente"),"—")</f>
        <v/>
      </c>
    </row>
    <row r="74">
      <c r="A74" s="7" t="n">
        <v>68</v>
      </c>
      <c r="B74" s="8" t="inlineStr">
        <is>
          <t>TORTA HOLANDESA</t>
        </is>
      </c>
      <c r="C74" s="9" t="n">
        <v>12</v>
      </c>
      <c r="D74" s="9" t="n">
        <v>15.6</v>
      </c>
      <c r="E74" s="9">
        <f>IFERROR(D74-C74,"")</f>
        <v/>
      </c>
      <c r="F74" s="10">
        <f>IFERROR((D74-C74)/C74,"")</f>
        <v/>
      </c>
      <c r="G74" s="11" t="n"/>
      <c r="H74" s="11" t="n"/>
      <c r="I74" s="11">
        <f>IFERROR(H74-G74,"")</f>
        <v/>
      </c>
      <c r="J74" s="12">
        <f>IFERROR((H74-G74)/G74,"")</f>
        <v/>
      </c>
      <c r="K74" s="13">
        <f>IFERROR(IF(ABS(F74-$D$3)&lt;0.003,"OK","Divergente"),"—")</f>
        <v/>
      </c>
    </row>
    <row r="76">
      <c r="A76" s="14" t="inlineStr">
        <is>
          <t>Fonte — Cardápio: "artes_da_pizza_precos_corrigidos (1).pdf" enviado pelo cliente, conferido item a item na imagem renderizada do PDF em 15/09/2026. Keeta: precos_keeta.csv, conferido por amostragem (~18 sabores, broto e grande) direto no painel merchant.mykeeta.com em 15/09/2026 — todos bateram com o CSV.</t>
        </is>
      </c>
    </row>
  </sheetData>
  <mergeCells count="6">
    <mergeCell ref="A1:J1"/>
    <mergeCell ref="A69:K69"/>
    <mergeCell ref="A2:K2"/>
    <mergeCell ref="A3:C3"/>
    <mergeCell ref="A76:K76"/>
    <mergeCell ref="A5:K5"/>
  </mergeCells>
  <conditionalFormatting sqref="E6:E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6:F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6:I7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6:J74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6:K74">
    <cfRule type="cellIs" priority="9" operator="equal" dxfId="1">
      <formula>"OK"</formula>
    </cfRule>
    <cfRule type="cellIs" priority="10" operator="equal" dxfId="0">
      <formula>"Divergente"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9" customWidth="1" min="5" max="5"/>
    <col width="11" customWidth="1" min="6" max="6"/>
    <col width="10" customWidth="1" min="7" max="7"/>
    <col width="9" customWidth="1" min="8" max="8"/>
  </cols>
  <sheetData>
    <row r="1">
      <c r="A1" s="1" t="inlineStr">
        <is>
          <t>ARTES DA PIZZA — Borda: cardápio vs Keeta</t>
        </is>
      </c>
    </row>
    <row r="2" ht="30" customHeight="1">
      <c r="A2" s="2" t="inlineStr">
        <is>
          <t>Cardápio: PDF pág.2, seção BORDA — preço único, não varia por tamanho. Keeta: conferido direto no painel merchant.mykeeta.com em 15/09/2026 — lá a borda TEM preço diferente por tamanho (broto e grande são grupos de personalização separados).</t>
        </is>
      </c>
    </row>
    <row r="4" ht="30" customHeight="1">
      <c r="A4" s="5" t="inlineStr">
        <is>
          <t>Borda</t>
        </is>
      </c>
      <c r="B4" s="5" t="inlineStr">
        <is>
          <t>Cardápio
(loja)</t>
        </is>
      </c>
      <c r="C4" s="5" t="inlineStr">
        <is>
          <t>Keeta
Broto</t>
        </is>
      </c>
      <c r="D4" s="5" t="inlineStr">
        <is>
          <t>Δ Broto
R$</t>
        </is>
      </c>
      <c r="E4" s="5" t="inlineStr">
        <is>
          <t>Δ Broto
%</t>
        </is>
      </c>
      <c r="F4" s="5" t="inlineStr">
        <is>
          <t>Keeta
Grande</t>
        </is>
      </c>
      <c r="G4" s="5" t="inlineStr">
        <is>
          <t>Δ Grande
R$</t>
        </is>
      </c>
      <c r="H4" s="5" t="inlineStr">
        <is>
          <t>Δ Grande
%</t>
        </is>
      </c>
    </row>
    <row r="5">
      <c r="A5" s="8" t="inlineStr">
        <is>
          <t>CATUPIRY</t>
        </is>
      </c>
      <c r="B5" s="11" t="n">
        <v>14</v>
      </c>
      <c r="C5" s="9" t="n">
        <v>14</v>
      </c>
      <c r="D5" s="9">
        <f>IFERROR(C5-B5,"")</f>
        <v/>
      </c>
      <c r="E5" s="10">
        <f>IFERROR((C5-B5)/B5,"")</f>
        <v/>
      </c>
      <c r="F5" s="11" t="n">
        <v>16</v>
      </c>
      <c r="G5" s="11">
        <f>IFERROR(F5-B5,"")</f>
        <v/>
      </c>
      <c r="H5" s="12">
        <f>IFERROR((F5-B5)/B5,"")</f>
        <v/>
      </c>
    </row>
    <row r="6">
      <c r="A6" s="8" t="inlineStr">
        <is>
          <t>CHEDDAR</t>
        </is>
      </c>
      <c r="B6" s="11" t="n">
        <v>10</v>
      </c>
      <c r="C6" s="9" t="n">
        <v>10</v>
      </c>
      <c r="D6" s="9">
        <f>IFERROR(C6-B6,"")</f>
        <v/>
      </c>
      <c r="E6" s="10">
        <f>IFERROR((C6-B6)/B6,"")</f>
        <v/>
      </c>
      <c r="F6" s="11" t="n">
        <v>14</v>
      </c>
      <c r="G6" s="11">
        <f>IFERROR(F6-B6,"")</f>
        <v/>
      </c>
      <c r="H6" s="12">
        <f>IFERROR((F6-B6)/B6,"")</f>
        <v/>
      </c>
    </row>
    <row r="8">
      <c r="A8" s="15" t="inlineStr">
        <is>
          <t>No Broto o Keeta cobra igual ao cardápio (0%). No Grande, o Keeta cobra mais que o cardápio em ambas as opções de borda — vale revisar se é intencional.</t>
        </is>
      </c>
    </row>
  </sheetData>
  <mergeCells count="3">
    <mergeCell ref="A1:I1"/>
    <mergeCell ref="A8:H8"/>
    <mergeCell ref="A2:I2"/>
  </mergeCells>
  <conditionalFormatting sqref="D5: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5:E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5:G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5:H6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2026-09-15T18:26:28Z</dcterms:created>
  <dcterms:modified xmlns:dcterms="http://purl.org/dc/terms/" xmlns:xsi="http://www.w3.org/2001/XMLSchema-instance" xsi:type="dcterms:W3CDTF">2026-09-15T18:26:28Z</dcterms:modified>
</cp:coreProperties>
</file>