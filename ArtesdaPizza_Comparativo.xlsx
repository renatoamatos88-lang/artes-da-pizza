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Geral" sheetId="1" state="visible" r:id="rId1"/>
    <sheet xmlns:r="http://schemas.openxmlformats.org/officeDocument/2006/relationships" name="iFood (extraído)" sheetId="2" state="visible" r:id="rId2"/>
    <sheet xmlns:r="http://schemas.openxmlformats.org/officeDocument/2006/relationships" name="Margem real" sheetId="3" state="visible" r:id="rId3"/>
    <sheet xmlns:r="http://schemas.openxmlformats.org/officeDocument/2006/relationships" name="Preço sugerido Whats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2E1A0F"/>
      <sz val="14"/>
    </font>
    <font>
      <b val="1"/>
      <color rgb="00FFFFFF"/>
    </font>
    <font>
      <b val="1"/>
      <color rgb="00FFFFFF"/>
      <sz val="10"/>
    </font>
    <font>
      <b val="1"/>
      <color rgb="002E1A0F"/>
      <sz val="11"/>
    </font>
    <font>
      <b val="1"/>
    </font>
    <font>
      <i val="1"/>
      <color rgb="00888888"/>
    </font>
    <font>
      <b val="1"/>
      <color rgb="002E7D32"/>
    </font>
  </fonts>
  <fills count="11">
    <fill>
      <patternFill/>
    </fill>
    <fill>
      <patternFill patternType="gray125"/>
    </fill>
    <fill>
      <patternFill patternType="solid">
        <fgColor rgb="002E1A0F"/>
      </patternFill>
    </fill>
    <fill>
      <patternFill patternType="solid">
        <fgColor rgb="004B6B3A"/>
      </patternFill>
    </fill>
    <fill>
      <patternFill patternType="solid">
        <fgColor rgb="00E11919"/>
      </patternFill>
    </fill>
    <fill>
      <patternFill patternType="solid">
        <fgColor rgb="00FFB300"/>
      </patternFill>
    </fill>
    <fill>
      <patternFill patternType="solid">
        <fgColor rgb="00888888"/>
      </patternFill>
    </fill>
    <fill>
      <patternFill patternType="solid">
        <fgColor rgb="00F4D6B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7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9" borderId="0" pivotButton="0" quotePrefix="0" xfId="0"/>
    <xf numFmtId="164" fontId="0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5" fontId="0" fillId="8" borderId="1" pivotButton="0" quotePrefix="0" xfId="0"/>
    <xf numFmtId="0" fontId="6" fillId="0" borderId="0" pivotButton="0" quotePrefix="0" xfId="0"/>
    <xf numFmtId="164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164" fontId="7" fillId="1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8C8C8"/>
        </patternFill>
      </fill>
    </dxf>
    <dxf>
      <fill>
        <patternFill patternType="solid">
          <fgColor rgb="00C8E6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ARTES DA PIZZA — Comparativo de Preços por Canal</t>
        </is>
      </c>
    </row>
    <row r="2" ht="32" customHeight="1">
      <c r="A2" s="2" t="inlineStr">
        <is>
          <t>Compare o que o cliente paga em cada canal. As colunas Δ mostram quanto o iFood/Keeta cobram a MAIS que o WhatsApp (em %). Δ negativo = canal mais barato que o WhatsApp = atenção (você pode estar perdendo).</t>
        </is>
      </c>
    </row>
    <row r="4">
      <c r="A4" s="3" t="inlineStr"/>
      <c r="B4" s="3" t="inlineStr"/>
      <c r="C4" s="3" t="inlineStr"/>
      <c r="D4" s="4" t="inlineStr">
        <is>
          <t>WhatsApp / Instagram</t>
        </is>
      </c>
      <c r="F4" s="5" t="inlineStr">
        <is>
          <t>iFood</t>
        </is>
      </c>
      <c r="H4" s="6" t="inlineStr">
        <is>
          <t>Keeta</t>
        </is>
      </c>
      <c r="J4" s="7" t="inlineStr">
        <is>
          <t>Δ iFood vs WA</t>
        </is>
      </c>
    </row>
    <row r="5">
      <c r="A5" s="8" t="inlineStr">
        <is>
          <t>Nº</t>
        </is>
      </c>
      <c r="B5" s="8" t="inlineStr">
        <is>
          <t>Pizza</t>
        </is>
      </c>
      <c r="C5" s="8" t="inlineStr">
        <is>
          <t>Ingredientes</t>
        </is>
      </c>
      <c r="D5" s="8" t="inlineStr">
        <is>
          <t>Broto</t>
        </is>
      </c>
      <c r="E5" s="8" t="inlineStr">
        <is>
          <t>Grande</t>
        </is>
      </c>
      <c r="F5" s="8" t="inlineStr">
        <is>
          <t>Broto</t>
        </is>
      </c>
      <c r="G5" s="8" t="inlineStr">
        <is>
          <t>Grande</t>
        </is>
      </c>
      <c r="H5" s="8" t="inlineStr">
        <is>
          <t>Broto</t>
        </is>
      </c>
      <c r="I5" s="8" t="inlineStr">
        <is>
          <t>Grande</t>
        </is>
      </c>
      <c r="J5" s="8" t="inlineStr">
        <is>
          <t>Broto</t>
        </is>
      </c>
      <c r="K5" s="8" t="inlineStr">
        <is>
          <t>Grande</t>
        </is>
      </c>
    </row>
    <row r="6">
      <c r="A6" s="9" t="inlineStr">
        <is>
          <t>PIZZAS SALGADAS</t>
        </is>
      </c>
    </row>
    <row r="7">
      <c r="A7" s="10" t="n">
        <v>1</v>
      </c>
      <c r="B7" s="11" t="inlineStr">
        <is>
          <t>2 QUEIJOS</t>
        </is>
      </c>
      <c r="C7" s="12" t="inlineStr">
        <is>
          <t>catupiry, mussarela e azeitonas</t>
        </is>
      </c>
      <c r="D7" s="13" t="n">
        <v>49</v>
      </c>
      <c r="E7" s="13" t="n">
        <v>78</v>
      </c>
      <c r="F7" s="13" t="n">
        <v>68.90000000000001</v>
      </c>
      <c r="G7" s="13" t="n">
        <v>99.90000000000001</v>
      </c>
      <c r="H7" s="14" t="n"/>
      <c r="I7" s="14" t="n"/>
      <c r="J7" s="15">
        <f>IFERROR((F7-D7)/D7,"")</f>
        <v/>
      </c>
      <c r="K7" s="15">
        <f>IFERROR((G7-E7)/E7,"")</f>
        <v/>
      </c>
    </row>
    <row r="8">
      <c r="A8" s="10" t="n">
        <v>2</v>
      </c>
      <c r="B8" s="11" t="inlineStr">
        <is>
          <t>4 QUEIJOS</t>
        </is>
      </c>
      <c r="C8" s="12" t="inlineStr">
        <is>
          <t>catupiry, provolone, mussarela, parmesão e azeitonas</t>
        </is>
      </c>
      <c r="D8" s="13" t="n">
        <v>55</v>
      </c>
      <c r="E8" s="13" t="n">
        <v>87</v>
      </c>
      <c r="F8" s="13" t="n">
        <v>76.90000000000001</v>
      </c>
      <c r="G8" s="13" t="n">
        <v>110.9</v>
      </c>
      <c r="H8" s="14" t="n"/>
      <c r="I8" s="14" t="n"/>
      <c r="J8" s="15">
        <f>IFERROR((F8-D8)/D8,"")</f>
        <v/>
      </c>
      <c r="K8" s="15">
        <f>IFERROR((G8-E8)/E8,"")</f>
        <v/>
      </c>
    </row>
    <row r="9">
      <c r="A9" s="10" t="n">
        <v>3</v>
      </c>
      <c r="B9" s="11" t="inlineStr">
        <is>
          <t>5 QUEIJOS</t>
        </is>
      </c>
      <c r="C9" s="12" t="inlineStr">
        <is>
          <t>catupiry, provolone, mussarela, gorgonzola, parmesão e azeitonas</t>
        </is>
      </c>
      <c r="D9" s="13" t="n">
        <v>60</v>
      </c>
      <c r="E9" s="13" t="n">
        <v>95</v>
      </c>
      <c r="F9" s="13" t="n">
        <v>83.90000000000001</v>
      </c>
      <c r="G9" s="13" t="n">
        <v>128.9</v>
      </c>
      <c r="H9" s="14" t="n"/>
      <c r="I9" s="14" t="n"/>
      <c r="J9" s="15">
        <f>IFERROR((F9-D9)/D9,"")</f>
        <v/>
      </c>
      <c r="K9" s="15">
        <f>IFERROR((G9-E9)/E9,"")</f>
        <v/>
      </c>
    </row>
    <row r="10">
      <c r="A10" s="10" t="n">
        <v>4</v>
      </c>
      <c r="B10" s="11" t="inlineStr">
        <is>
          <t>A MODA DA CASA</t>
        </is>
      </c>
      <c r="C10" s="12" t="inlineStr">
        <is>
          <t>presunto, ovo, palmito, atum sólido, cebola, mussarela e azeitonas</t>
        </is>
      </c>
      <c r="D10" s="13" t="n">
        <v>60</v>
      </c>
      <c r="E10" s="13" t="n">
        <v>95</v>
      </c>
      <c r="F10" s="13" t="n">
        <v>84.90000000000001</v>
      </c>
      <c r="G10" s="13" t="n">
        <v>128.9</v>
      </c>
      <c r="H10" s="14" t="n"/>
      <c r="I10" s="14" t="n"/>
      <c r="J10" s="15">
        <f>IFERROR((F10-D10)/D10,"")</f>
        <v/>
      </c>
      <c r="K10" s="15">
        <f>IFERROR((G10-E10)/E10,"")</f>
        <v/>
      </c>
    </row>
    <row r="11">
      <c r="A11" s="10" t="n">
        <v>5</v>
      </c>
      <c r="B11" s="11" t="inlineStr">
        <is>
          <t>ABOBRINHA</t>
        </is>
      </c>
      <c r="C11" s="12" t="inlineStr">
        <is>
          <t>abobrinha refogada no azeite e alho, mussarela, parmesão e azeitonas</t>
        </is>
      </c>
      <c r="D11" s="13" t="n">
        <v>45</v>
      </c>
      <c r="E11" s="13" t="n">
        <v>72</v>
      </c>
      <c r="F11" s="13" t="n">
        <v>59.9</v>
      </c>
      <c r="G11" s="13" t="n">
        <v>93.90000000000001</v>
      </c>
      <c r="H11" s="14" t="n"/>
      <c r="I11" s="14" t="n"/>
      <c r="J11" s="15">
        <f>IFERROR((F11-D11)/D11,"")</f>
        <v/>
      </c>
      <c r="K11" s="15">
        <f>IFERROR((G11-E11)/E11,"")</f>
        <v/>
      </c>
    </row>
    <row r="12">
      <c r="A12" s="10" t="n">
        <v>6</v>
      </c>
      <c r="B12" s="11" t="inlineStr">
        <is>
          <t>ALADINELE</t>
        </is>
      </c>
      <c r="C12" s="12" t="inlineStr">
        <is>
          <t>mussarela, champignon, manjericão, parmesão e azeitonas</t>
        </is>
      </c>
      <c r="D12" s="13" t="n">
        <v>52</v>
      </c>
      <c r="E12" s="13" t="n">
        <v>82</v>
      </c>
      <c r="F12" s="13" t="n">
        <v>69.90000000000001</v>
      </c>
      <c r="G12" s="13" t="n">
        <v>99.90000000000001</v>
      </c>
      <c r="H12" s="14" t="n"/>
      <c r="I12" s="14" t="n"/>
      <c r="J12" s="15">
        <f>IFERROR((F12-D12)/D12,"")</f>
        <v/>
      </c>
      <c r="K12" s="15">
        <f>IFERROR((G12-E12)/E12,"")</f>
        <v/>
      </c>
    </row>
    <row r="13">
      <c r="A13" s="10" t="n">
        <v>7</v>
      </c>
      <c r="B13" s="11" t="inlineStr">
        <is>
          <t>ALCACHOFRA</t>
        </is>
      </c>
      <c r="C13" s="12" t="inlineStr">
        <is>
          <t>alcachofra com mussarela, tomate seco e azeitonas</t>
        </is>
      </c>
      <c r="D13" s="13" t="n">
        <v>53</v>
      </c>
      <c r="E13" s="13" t="n">
        <v>85</v>
      </c>
      <c r="F13" s="13" t="n">
        <v>69.90000000000001</v>
      </c>
      <c r="G13" s="13" t="n">
        <v>110.9</v>
      </c>
      <c r="H13" s="14" t="n"/>
      <c r="I13" s="14" t="n"/>
      <c r="J13" s="15">
        <f>IFERROR((F13-D13)/D13,"")</f>
        <v/>
      </c>
      <c r="K13" s="15">
        <f>IFERROR((G13-E13)/E13,"")</f>
        <v/>
      </c>
    </row>
    <row r="14">
      <c r="A14" s="10" t="n">
        <v>8</v>
      </c>
      <c r="B14" s="11" t="inlineStr">
        <is>
          <t>ALCACHOFRA ESPECIAL</t>
        </is>
      </c>
      <c r="C14" s="12" t="inlineStr">
        <is>
          <t>alcachofra, brócolis refogado na manteiga, mussarela de búfala e azeitonas</t>
        </is>
      </c>
      <c r="D14" s="13" t="n">
        <v>59</v>
      </c>
      <c r="E14" s="13" t="n">
        <v>94</v>
      </c>
      <c r="F14" s="13" t="n">
        <v>81.90000000000001</v>
      </c>
      <c r="G14" s="13" t="n">
        <v>125.9</v>
      </c>
      <c r="H14" s="14" t="n"/>
      <c r="I14" s="14" t="n"/>
      <c r="J14" s="15">
        <f>IFERROR((F14-D14)/D14,"")</f>
        <v/>
      </c>
      <c r="K14" s="15">
        <f>IFERROR((G14-E14)/E14,"")</f>
        <v/>
      </c>
    </row>
    <row r="15">
      <c r="A15" s="10" t="n">
        <v>9</v>
      </c>
      <c r="B15" s="11" t="inlineStr">
        <is>
          <t>ALHO</t>
        </is>
      </c>
      <c r="C15" s="12" t="inlineStr">
        <is>
          <t>parmesão com alho frito e azeitonas</t>
        </is>
      </c>
      <c r="D15" s="13" t="n">
        <v>45</v>
      </c>
      <c r="E15" s="13" t="n">
        <v>72</v>
      </c>
      <c r="F15" s="13" t="n">
        <v>63.9</v>
      </c>
      <c r="G15" s="13" t="n">
        <v>98.90000000000001</v>
      </c>
      <c r="H15" s="14" t="n"/>
      <c r="I15" s="14" t="n"/>
      <c r="J15" s="15">
        <f>IFERROR((F15-D15)/D15,"")</f>
        <v/>
      </c>
      <c r="K15" s="15">
        <f>IFERROR((G15-E15)/E15,"")</f>
        <v/>
      </c>
    </row>
    <row r="16">
      <c r="A16" s="10" t="n">
        <v>10</v>
      </c>
      <c r="B16" s="11" t="inlineStr">
        <is>
          <t>ALHO PORÓ</t>
        </is>
      </c>
      <c r="C16" s="12" t="inlineStr">
        <is>
          <t>mussarela, alho poró refogado na manteiga, parmesão e azeitonas</t>
        </is>
      </c>
      <c r="D16" s="13" t="n">
        <v>45</v>
      </c>
      <c r="E16" s="13" t="n">
        <v>72</v>
      </c>
      <c r="F16" s="13" t="n">
        <v>63.9</v>
      </c>
      <c r="G16" s="13" t="n">
        <v>93.90000000000001</v>
      </c>
      <c r="H16" s="14" t="n"/>
      <c r="I16" s="14" t="n"/>
      <c r="J16" s="15">
        <f>IFERROR((F16-D16)/D16,"")</f>
        <v/>
      </c>
      <c r="K16" s="15">
        <f>IFERROR((G16-E16)/E16,"")</f>
        <v/>
      </c>
    </row>
    <row r="17">
      <c r="A17" s="10" t="n">
        <v>11</v>
      </c>
      <c r="B17" s="11" t="inlineStr">
        <is>
          <t>ALICHE IMPORTADO</t>
        </is>
      </c>
      <c r="C17" s="12" t="inlineStr">
        <is>
          <t>filé de aliche importado, mussarela, rodela de tomate, parmesão e azeitonas</t>
        </is>
      </c>
      <c r="D17" s="13" t="n">
        <v>59</v>
      </c>
      <c r="E17" s="13" t="n">
        <v>92</v>
      </c>
      <c r="F17" s="13" t="n">
        <v>82.90000000000001</v>
      </c>
      <c r="G17" s="13" t="n">
        <v>125.9</v>
      </c>
      <c r="H17" s="14" t="n"/>
      <c r="I17" s="14" t="n"/>
      <c r="J17" s="15">
        <f>IFERROR((F17-D17)/D17,"")</f>
        <v/>
      </c>
      <c r="K17" s="15">
        <f>IFERROR((G17-E17)/E17,"")</f>
        <v/>
      </c>
    </row>
    <row r="18">
      <c r="A18" s="10" t="n">
        <v>12</v>
      </c>
      <c r="B18" s="11" t="inlineStr">
        <is>
          <t>AMERICANA</t>
        </is>
      </c>
      <c r="C18" s="12" t="inlineStr">
        <is>
          <t>calabresa, palmito, mussarela e azeitonas</t>
        </is>
      </c>
      <c r="D18" s="13" t="n">
        <v>55</v>
      </c>
      <c r="E18" s="13" t="n">
        <v>87</v>
      </c>
      <c r="F18" s="13" t="n">
        <v>64.90000000000001</v>
      </c>
      <c r="G18" s="13" t="n">
        <v>105.9</v>
      </c>
      <c r="H18" s="14" t="n"/>
      <c r="I18" s="14" t="n"/>
      <c r="J18" s="15">
        <f>IFERROR((F18-D18)/D18,"")</f>
        <v/>
      </c>
      <c r="K18" s="15">
        <f>IFERROR((G18-E18)/E18,"")</f>
        <v/>
      </c>
    </row>
    <row r="19">
      <c r="A19" s="10" t="n">
        <v>13</v>
      </c>
      <c r="B19" s="11" t="inlineStr">
        <is>
          <t>ARTES DA PIZZA</t>
        </is>
      </c>
      <c r="C19" s="12" t="inlineStr">
        <is>
          <t>peito de peru, catupiry, parmesão e azeitonas</t>
        </is>
      </c>
      <c r="D19" s="13" t="n">
        <v>46</v>
      </c>
      <c r="E19" s="13" t="n">
        <v>75</v>
      </c>
      <c r="F19" s="13" t="n">
        <v>64.90000000000001</v>
      </c>
      <c r="G19" s="13" t="n">
        <v>102.9</v>
      </c>
      <c r="H19" s="14" t="n"/>
      <c r="I19" s="14" t="n"/>
      <c r="J19" s="15">
        <f>IFERROR((F19-D19)/D19,"")</f>
        <v/>
      </c>
      <c r="K19" s="15">
        <f>IFERROR((G19-E19)/E19,"")</f>
        <v/>
      </c>
    </row>
    <row r="20">
      <c r="A20" s="10" t="n">
        <v>14</v>
      </c>
      <c r="B20" s="11" t="inlineStr">
        <is>
          <t>ATUM</t>
        </is>
      </c>
      <c r="C20" s="12" t="inlineStr">
        <is>
          <t>atum ralado, cebola e azeitonas</t>
        </is>
      </c>
      <c r="D20" s="13" t="n">
        <v>41</v>
      </c>
      <c r="E20" s="13" t="n">
        <v>65</v>
      </c>
      <c r="F20" s="13" t="n">
        <v>52.9</v>
      </c>
      <c r="G20" s="13" t="n">
        <v>79.90000000000001</v>
      </c>
      <c r="H20" s="14" t="n"/>
      <c r="I20" s="14" t="n"/>
      <c r="J20" s="15">
        <f>IFERROR((F20-D20)/D20,"")</f>
        <v/>
      </c>
      <c r="K20" s="15">
        <f>IFERROR((G20-E20)/E20,"")</f>
        <v/>
      </c>
    </row>
    <row r="21">
      <c r="A21" s="10" t="n">
        <v>15</v>
      </c>
      <c r="B21" s="11" t="inlineStr">
        <is>
          <t>ATUM ESPECIAL</t>
        </is>
      </c>
      <c r="C21" s="12" t="inlineStr">
        <is>
          <t>atum sólido com cebola e azeitonas</t>
        </is>
      </c>
      <c r="D21" s="13" t="n">
        <v>53</v>
      </c>
      <c r="E21" s="13" t="n">
        <v>85</v>
      </c>
      <c r="F21" s="13" t="n">
        <v>76.90000000000001</v>
      </c>
      <c r="G21" s="13" t="n">
        <v>116.9</v>
      </c>
      <c r="H21" s="14" t="n"/>
      <c r="I21" s="14" t="n"/>
      <c r="J21" s="15">
        <f>IFERROR((F21-D21)/D21,"")</f>
        <v/>
      </c>
      <c r="K21" s="15">
        <f>IFERROR((G21-E21)/E21,"")</f>
        <v/>
      </c>
    </row>
    <row r="22">
      <c r="A22" s="10" t="n">
        <v>16</v>
      </c>
      <c r="B22" s="11" t="inlineStr">
        <is>
          <t>BACON</t>
        </is>
      </c>
      <c r="C22" s="12" t="inlineStr">
        <is>
          <t>mussarela com bacon e azeitonas</t>
        </is>
      </c>
      <c r="D22" s="13" t="n">
        <v>46</v>
      </c>
      <c r="E22" s="13" t="n">
        <v>75</v>
      </c>
      <c r="F22" s="13" t="n">
        <v>59.9</v>
      </c>
      <c r="G22" s="13" t="n">
        <v>97.90000000000001</v>
      </c>
      <c r="H22" s="14" t="n"/>
      <c r="I22" s="14" t="n"/>
      <c r="J22" s="15">
        <f>IFERROR((F22-D22)/D22,"")</f>
        <v/>
      </c>
      <c r="K22" s="15">
        <f>IFERROR((G22-E22)/E22,"")</f>
        <v/>
      </c>
    </row>
    <row r="23">
      <c r="A23" s="10" t="n">
        <v>17</v>
      </c>
      <c r="B23" s="11" t="inlineStr">
        <is>
          <t>BAIANA</t>
        </is>
      </c>
      <c r="C23" s="12" t="inlineStr">
        <is>
          <t>calabresa moída, ovo, cebola, molho de pimenta e azeitonas</t>
        </is>
      </c>
      <c r="D23" s="13" t="n">
        <v>43</v>
      </c>
      <c r="E23" s="13" t="n">
        <v>68</v>
      </c>
      <c r="F23" s="13" t="n">
        <v>58.9</v>
      </c>
      <c r="G23" s="13" t="n">
        <v>88.90000000000001</v>
      </c>
      <c r="H23" s="14" t="n"/>
      <c r="I23" s="14" t="n"/>
      <c r="J23" s="15">
        <f>IFERROR((F23-D23)/D23,"")</f>
        <v/>
      </c>
      <c r="K23" s="15">
        <f>IFERROR((G23-E23)/E23,"")</f>
        <v/>
      </c>
    </row>
    <row r="24">
      <c r="A24" s="10" t="n">
        <v>18</v>
      </c>
      <c r="B24" s="11" t="inlineStr">
        <is>
          <t>BERINJELA</t>
        </is>
      </c>
      <c r="C24" s="12" t="inlineStr">
        <is>
          <t>mussarela, berinjela com patê de azeitonas pretas, manjericão e parmesão</t>
        </is>
      </c>
      <c r="D24" s="13" t="n">
        <v>43</v>
      </c>
      <c r="E24" s="13" t="n">
        <v>68</v>
      </c>
      <c r="F24" s="13" t="n">
        <v>58.9</v>
      </c>
      <c r="G24" s="13" t="n">
        <v>88.90000000000001</v>
      </c>
      <c r="H24" s="14" t="n"/>
      <c r="I24" s="14" t="n"/>
      <c r="J24" s="15">
        <f>IFERROR((F24-D24)/D24,"")</f>
        <v/>
      </c>
      <c r="K24" s="15">
        <f>IFERROR((G24-E24)/E24,"")</f>
        <v/>
      </c>
    </row>
    <row r="25">
      <c r="A25" s="10" t="n">
        <v>19</v>
      </c>
      <c r="B25" s="11" t="inlineStr">
        <is>
          <t>BRÓCOLIS</t>
        </is>
      </c>
      <c r="C25" s="12" t="inlineStr">
        <is>
          <t>brócolis refogado no alho e azeite, mussarela e azeitonas</t>
        </is>
      </c>
      <c r="D25" s="13" t="n">
        <v>43</v>
      </c>
      <c r="E25" s="13" t="n">
        <v>68</v>
      </c>
      <c r="F25" s="13" t="n">
        <v>58.9</v>
      </c>
      <c r="G25" s="13" t="n">
        <v>89.90000000000001</v>
      </c>
      <c r="H25" s="14" t="n"/>
      <c r="I25" s="14" t="n"/>
      <c r="J25" s="15">
        <f>IFERROR((F25-D25)/D25,"")</f>
        <v/>
      </c>
      <c r="K25" s="15">
        <f>IFERROR((G25-E25)/E25,"")</f>
        <v/>
      </c>
    </row>
    <row r="26">
      <c r="A26" s="10" t="n">
        <v>20</v>
      </c>
      <c r="B26" s="11" t="inlineStr">
        <is>
          <t>BRÓCOLIS II</t>
        </is>
      </c>
      <c r="C26" s="12" t="inlineStr">
        <is>
          <t>brócolis, carne seca desfiada puxada na manteiga, cebola, mussarela e azeitonas</t>
        </is>
      </c>
      <c r="D26" s="13" t="n">
        <v>50</v>
      </c>
      <c r="E26" s="13" t="n">
        <v>80</v>
      </c>
      <c r="F26" s="13" t="n">
        <v>65.90000000000001</v>
      </c>
      <c r="G26" s="13" t="n">
        <v>99.90000000000001</v>
      </c>
      <c r="H26" s="14" t="n"/>
      <c r="I26" s="14" t="n"/>
      <c r="J26" s="15">
        <f>IFERROR((F26-D26)/D26,"")</f>
        <v/>
      </c>
      <c r="K26" s="15">
        <f>IFERROR((G26-E26)/E26,"")</f>
        <v/>
      </c>
    </row>
    <row r="27">
      <c r="A27" s="10" t="n">
        <v>21</v>
      </c>
      <c r="B27" s="11" t="inlineStr">
        <is>
          <t>BRÓCOLIS III</t>
        </is>
      </c>
      <c r="C27" s="12" t="inlineStr">
        <is>
          <t>brócolis refogado no alho e azeite, catupiry, bacon e azeitonas</t>
        </is>
      </c>
      <c r="D27" s="13" t="n">
        <v>50</v>
      </c>
      <c r="E27" s="13" t="n">
        <v>80</v>
      </c>
      <c r="F27" s="13" t="n">
        <v>65.90000000000001</v>
      </c>
      <c r="G27" s="13" t="n">
        <v>99.90000000000001</v>
      </c>
      <c r="H27" s="14" t="n"/>
      <c r="I27" s="14" t="n"/>
      <c r="J27" s="15">
        <f>IFERROR((F27-D27)/D27,"")</f>
        <v/>
      </c>
      <c r="K27" s="15">
        <f>IFERROR((G27-E27)/E27,"")</f>
        <v/>
      </c>
    </row>
    <row r="28">
      <c r="A28" s="10" t="n">
        <v>22</v>
      </c>
      <c r="B28" s="11" t="inlineStr">
        <is>
          <t>BÚFALA</t>
        </is>
      </c>
      <c r="C28" s="12" t="inlineStr">
        <is>
          <t>mussarela de búfala e azeitonas</t>
        </is>
      </c>
      <c r="D28" s="13" t="n">
        <v>45</v>
      </c>
      <c r="E28" s="13" t="n">
        <v>73</v>
      </c>
      <c r="F28" s="13" t="n">
        <v>62.9</v>
      </c>
      <c r="G28" s="13" t="n">
        <v>92.90000000000001</v>
      </c>
      <c r="H28" s="14" t="n"/>
      <c r="I28" s="14" t="n"/>
      <c r="J28" s="15">
        <f>IFERROR((F28-D28)/D28,"")</f>
        <v/>
      </c>
      <c r="K28" s="15">
        <f>IFERROR((G28-E28)/E28,"")</f>
        <v/>
      </c>
    </row>
    <row r="29">
      <c r="A29" s="10" t="n">
        <v>23</v>
      </c>
      <c r="B29" s="11" t="inlineStr">
        <is>
          <t>CAIPIRA</t>
        </is>
      </c>
      <c r="C29" s="12" t="inlineStr">
        <is>
          <t>frango desfiado temperado, milho verde, catupiry e azeitonas</t>
        </is>
      </c>
      <c r="D29" s="13" t="n">
        <v>50</v>
      </c>
      <c r="E29" s="13" t="n">
        <v>80</v>
      </c>
      <c r="F29" s="13" t="n">
        <v>65.90000000000001</v>
      </c>
      <c r="G29" s="13" t="n">
        <v>98.90000000000001</v>
      </c>
      <c r="H29" s="14" t="n"/>
      <c r="I29" s="14" t="n"/>
      <c r="J29" s="15">
        <f>IFERROR((F29-D29)/D29,"")</f>
        <v/>
      </c>
      <c r="K29" s="15">
        <f>IFERROR((G29-E29)/E29,"")</f>
        <v/>
      </c>
    </row>
    <row r="30">
      <c r="A30" s="10" t="n">
        <v>24</v>
      </c>
      <c r="B30" s="11" t="inlineStr">
        <is>
          <t>CALABRESA</t>
        </is>
      </c>
      <c r="C30" s="12" t="inlineStr">
        <is>
          <t>calabresa sadia com cebola e azeitonas</t>
        </is>
      </c>
      <c r="D30" s="13" t="n">
        <v>41</v>
      </c>
      <c r="E30" s="13" t="n">
        <v>65</v>
      </c>
      <c r="F30" s="13" t="n">
        <v>58.9</v>
      </c>
      <c r="G30" s="13" t="n">
        <v>88.90000000000001</v>
      </c>
      <c r="H30" s="14" t="n"/>
      <c r="I30" s="14" t="n"/>
      <c r="J30" s="15">
        <f>IFERROR((F30-D30)/D30,"")</f>
        <v/>
      </c>
      <c r="K30" s="15">
        <f>IFERROR((G30-E30)/E30,"")</f>
        <v/>
      </c>
    </row>
    <row r="31">
      <c r="A31" s="10" t="n">
        <v>25</v>
      </c>
      <c r="B31" s="11" t="inlineStr">
        <is>
          <t>CALACATÚ</t>
        </is>
      </c>
      <c r="C31" s="12" t="inlineStr">
        <is>
          <t>calabresa sadia, cebola, catupiry e azeitonas</t>
        </is>
      </c>
      <c r="D31" s="13" t="n">
        <v>50</v>
      </c>
      <c r="E31" s="13" t="n">
        <v>80</v>
      </c>
      <c r="F31" s="13" t="n">
        <v>65.90000000000001</v>
      </c>
      <c r="G31" s="13" t="n">
        <v>99.90000000000001</v>
      </c>
      <c r="H31" s="14" t="n"/>
      <c r="I31" s="14" t="n"/>
      <c r="J31" s="15">
        <f>IFERROR((F31-D31)/D31,"")</f>
        <v/>
      </c>
      <c r="K31" s="15">
        <f>IFERROR((G31-E31)/E31,"")</f>
        <v/>
      </c>
    </row>
    <row r="32">
      <c r="A32" s="10" t="n">
        <v>26</v>
      </c>
      <c r="B32" s="11" t="inlineStr">
        <is>
          <t>CAMARÃO</t>
        </is>
      </c>
      <c r="C32" s="12" t="inlineStr">
        <is>
          <t>camarão puxado no azeite, cebola, salsinha, parmesão e azeitonas</t>
        </is>
      </c>
      <c r="D32" s="13" t="n">
        <v>72</v>
      </c>
      <c r="E32" s="13" t="n">
        <v>120</v>
      </c>
      <c r="F32" s="13" t="n">
        <v>95.90000000000001</v>
      </c>
      <c r="G32" s="13" t="n">
        <v>162.9</v>
      </c>
      <c r="H32" s="14" t="n"/>
      <c r="I32" s="14" t="n"/>
      <c r="J32" s="15">
        <f>IFERROR((F32-D32)/D32,"")</f>
        <v/>
      </c>
      <c r="K32" s="15">
        <f>IFERROR((G32-E32)/E32,"")</f>
        <v/>
      </c>
    </row>
    <row r="33">
      <c r="A33" s="10" t="n">
        <v>27</v>
      </c>
      <c r="B33" s="11" t="inlineStr">
        <is>
          <t>CAPRICHOSA</t>
        </is>
      </c>
      <c r="C33" s="12" t="inlineStr">
        <is>
          <t>lombo, catupiry, rodelas de tomate, parmesão e azeitonas</t>
        </is>
      </c>
      <c r="D33" s="13" t="n">
        <v>53</v>
      </c>
      <c r="E33" s="13" t="n">
        <v>85</v>
      </c>
      <c r="F33" s="13" t="n">
        <v>69.90000000000001</v>
      </c>
      <c r="G33" s="13" t="n">
        <v>109.9</v>
      </c>
      <c r="H33" s="14" t="n"/>
      <c r="I33" s="14" t="n"/>
      <c r="J33" s="15">
        <f>IFERROR((F33-D33)/D33,"")</f>
        <v/>
      </c>
      <c r="K33" s="15">
        <f>IFERROR((G33-E33)/E33,"")</f>
        <v/>
      </c>
    </row>
    <row r="34">
      <c r="A34" s="10" t="n">
        <v>28</v>
      </c>
      <c r="B34" s="11" t="inlineStr">
        <is>
          <t>CARNE SECA</t>
        </is>
      </c>
      <c r="C34" s="12" t="inlineStr">
        <is>
          <t>carne seca desfiada puxada na manteiga, cebola, mussarela e azeitonas</t>
        </is>
      </c>
      <c r="D34" s="13" t="n">
        <v>60</v>
      </c>
      <c r="E34" s="13" t="n">
        <v>95</v>
      </c>
      <c r="F34" s="13" t="n">
        <v>83.90000000000001</v>
      </c>
      <c r="G34" s="13" t="n">
        <v>126.9</v>
      </c>
      <c r="H34" s="14" t="n"/>
      <c r="I34" s="14" t="n"/>
      <c r="J34" s="15">
        <f>IFERROR((F34-D34)/D34,"")</f>
        <v/>
      </c>
      <c r="K34" s="15">
        <f>IFERROR((G34-E34)/E34,"")</f>
        <v/>
      </c>
    </row>
    <row r="35">
      <c r="A35" s="10" t="n">
        <v>29</v>
      </c>
      <c r="B35" s="11" t="inlineStr">
        <is>
          <t>CATUPIRY</t>
        </is>
      </c>
      <c r="C35" s="12" t="inlineStr">
        <is>
          <t>queijo catupiry com azeitonas</t>
        </is>
      </c>
      <c r="D35" s="13" t="n">
        <v>43</v>
      </c>
      <c r="E35" s="13" t="n">
        <v>68</v>
      </c>
      <c r="F35" s="13" t="n">
        <v>57.9</v>
      </c>
      <c r="G35" s="13" t="n">
        <v>87.90000000000001</v>
      </c>
      <c r="H35" s="14" t="n"/>
      <c r="I35" s="14" t="n"/>
      <c r="J35" s="15">
        <f>IFERROR((F35-D35)/D35,"")</f>
        <v/>
      </c>
      <c r="K35" s="15">
        <f>IFERROR((G35-E35)/E35,"")</f>
        <v/>
      </c>
    </row>
    <row r="36">
      <c r="A36" s="10" t="n">
        <v>30</v>
      </c>
      <c r="B36" s="11" t="inlineStr">
        <is>
          <t>CLASSE ESPECIAL</t>
        </is>
      </c>
      <c r="C36" s="12" t="inlineStr">
        <is>
          <t>rodelas de tomate, parmesão, rúcula, alho frito e azeitonas</t>
        </is>
      </c>
      <c r="D36" s="13" t="n">
        <v>43</v>
      </c>
      <c r="E36" s="13" t="n">
        <v>68</v>
      </c>
      <c r="F36" s="13" t="n">
        <v>57.9</v>
      </c>
      <c r="G36" s="13" t="n">
        <v>89.90000000000001</v>
      </c>
      <c r="H36" s="14" t="n"/>
      <c r="I36" s="14" t="n"/>
      <c r="J36" s="15">
        <f>IFERROR((F36-D36)/D36,"")</f>
        <v/>
      </c>
      <c r="K36" s="15">
        <f>IFERROR((G36-E36)/E36,"")</f>
        <v/>
      </c>
    </row>
    <row r="37">
      <c r="A37" s="10" t="n">
        <v>31</v>
      </c>
      <c r="B37" s="11" t="inlineStr">
        <is>
          <t>DO PIZZAIOLO</t>
        </is>
      </c>
      <c r="C37" s="12" t="inlineStr">
        <is>
          <t>mussarela, brócolis, champignon, parmesão e azeitonas</t>
        </is>
      </c>
      <c r="D37" s="13" t="n">
        <v>49</v>
      </c>
      <c r="E37" s="13" t="n">
        <v>78</v>
      </c>
      <c r="F37" s="13" t="n">
        <v>64.90000000000001</v>
      </c>
      <c r="G37" s="13" t="n">
        <v>96.90000000000001</v>
      </c>
      <c r="H37" s="14" t="n"/>
      <c r="I37" s="14" t="n"/>
      <c r="J37" s="15">
        <f>IFERROR((F37-D37)/D37,"")</f>
        <v/>
      </c>
      <c r="K37" s="15">
        <f>IFERROR((G37-E37)/E37,"")</f>
        <v/>
      </c>
    </row>
    <row r="38">
      <c r="A38" s="10" t="n">
        <v>32</v>
      </c>
      <c r="B38" s="11" t="inlineStr">
        <is>
          <t>ESCAROLA</t>
        </is>
      </c>
      <c r="C38" s="12" t="inlineStr">
        <is>
          <t>escarola refogada no azeite e alho, mussarela e azeitonas</t>
        </is>
      </c>
      <c r="D38" s="13" t="n">
        <v>43</v>
      </c>
      <c r="E38" s="13" t="n">
        <v>68</v>
      </c>
      <c r="F38" s="13" t="n">
        <v>55.9</v>
      </c>
      <c r="G38" s="13" t="n">
        <v>85.90000000000001</v>
      </c>
      <c r="H38" s="14" t="n"/>
      <c r="I38" s="14" t="n"/>
      <c r="J38" s="15">
        <f>IFERROR((F38-D38)/D38,"")</f>
        <v/>
      </c>
      <c r="K38" s="15">
        <f>IFERROR((G38-E38)/E38,"")</f>
        <v/>
      </c>
    </row>
    <row r="39">
      <c r="A39" s="10" t="n">
        <v>33</v>
      </c>
      <c r="B39" s="11" t="inlineStr">
        <is>
          <t>ESCAROLA ESPECIAL</t>
        </is>
      </c>
      <c r="C39" s="12" t="inlineStr">
        <is>
          <t>escarola refogada no azeite e alho, bacon, mussarela, parmesão e azeitonas</t>
        </is>
      </c>
      <c r="D39" s="13" t="n">
        <v>49</v>
      </c>
      <c r="E39" s="13" t="n">
        <v>78</v>
      </c>
      <c r="F39" s="13" t="n">
        <v>63.9</v>
      </c>
      <c r="G39" s="13" t="n">
        <v>96.90000000000001</v>
      </c>
      <c r="H39" s="14" t="n"/>
      <c r="I39" s="14" t="n"/>
      <c r="J39" s="15">
        <f>IFERROR((F39-D39)/D39,"")</f>
        <v/>
      </c>
      <c r="K39" s="15">
        <f>IFERROR((G39-E39)/E39,"")</f>
        <v/>
      </c>
    </row>
    <row r="40">
      <c r="A40" s="10" t="n">
        <v>34</v>
      </c>
      <c r="B40" s="11" t="inlineStr">
        <is>
          <t>ESPANHOLA</t>
        </is>
      </c>
      <c r="C40" s="12" t="inlineStr">
        <is>
          <t>atum sólido, palmito, ervilha, catupiry e azeitonas</t>
        </is>
      </c>
      <c r="D40" s="13" t="n">
        <v>60</v>
      </c>
      <c r="E40" s="13" t="n">
        <v>95</v>
      </c>
      <c r="F40" s="13" t="n">
        <v>83.90000000000001</v>
      </c>
      <c r="G40" s="13" t="n">
        <v>128.9</v>
      </c>
      <c r="H40" s="14" t="n"/>
      <c r="I40" s="14" t="n"/>
      <c r="J40" s="15">
        <f>IFERROR((F40-D40)/D40,"")</f>
        <v/>
      </c>
      <c r="K40" s="15">
        <f>IFERROR((G40-E40)/E40,"")</f>
        <v/>
      </c>
    </row>
    <row r="41">
      <c r="A41" s="10" t="n">
        <v>35</v>
      </c>
      <c r="B41" s="11" t="inlineStr">
        <is>
          <t>ESPECIAL</t>
        </is>
      </c>
      <c r="C41" s="12" t="inlineStr">
        <is>
          <t>presunto, palmito, champignon, catupiry e azeitonas</t>
        </is>
      </c>
      <c r="D41" s="13" t="n">
        <v>60</v>
      </c>
      <c r="E41" s="13" t="n">
        <v>95</v>
      </c>
      <c r="F41" s="13" t="n">
        <v>83.90000000000001</v>
      </c>
      <c r="G41" s="13" t="n">
        <v>128.9</v>
      </c>
      <c r="H41" s="14" t="n"/>
      <c r="I41" s="14" t="n"/>
      <c r="J41" s="15">
        <f>IFERROR((F41-D41)/D41,"")</f>
        <v/>
      </c>
      <c r="K41" s="15">
        <f>IFERROR((G41-E41)/E41,"")</f>
        <v/>
      </c>
    </row>
    <row r="42">
      <c r="A42" s="10" t="n">
        <v>36</v>
      </c>
      <c r="B42" s="11" t="inlineStr">
        <is>
          <t>EXECUTIVA</t>
        </is>
      </c>
      <c r="C42" s="12" t="inlineStr">
        <is>
          <t>mussarela, rodelas de tomate, manjericão, alho frito e azeitonas</t>
        </is>
      </c>
      <c r="D42" s="13" t="n">
        <v>45</v>
      </c>
      <c r="E42" s="13" t="n">
        <v>72</v>
      </c>
      <c r="F42" s="13" t="n">
        <v>59.9</v>
      </c>
      <c r="G42" s="13" t="n">
        <v>87.90000000000001</v>
      </c>
      <c r="H42" s="14" t="n"/>
      <c r="I42" s="14" t="n"/>
      <c r="J42" s="15">
        <f>IFERROR((F42-D42)/D42,"")</f>
        <v/>
      </c>
      <c r="K42" s="15">
        <f>IFERROR((G42-E42)/E42,"")</f>
        <v/>
      </c>
    </row>
    <row r="43">
      <c r="A43" s="10" t="n">
        <v>37</v>
      </c>
      <c r="B43" s="11" t="inlineStr">
        <is>
          <t>FAVORITA</t>
        </is>
      </c>
      <c r="C43" s="12" t="inlineStr">
        <is>
          <t>presunto picado, catupiry e azeitonas</t>
        </is>
      </c>
      <c r="D43" s="13" t="n">
        <v>45</v>
      </c>
      <c r="E43" s="13" t="n">
        <v>72</v>
      </c>
      <c r="F43" s="13" t="n">
        <v>59.9</v>
      </c>
      <c r="G43" s="13" t="n">
        <v>93.90000000000001</v>
      </c>
      <c r="H43" s="14" t="n"/>
      <c r="I43" s="14" t="n"/>
      <c r="J43" s="15">
        <f>IFERROR((F43-D43)/D43,"")</f>
        <v/>
      </c>
      <c r="K43" s="15">
        <f>IFERROR((G43-E43)/E43,"")</f>
        <v/>
      </c>
    </row>
    <row r="44">
      <c r="A44" s="10" t="n">
        <v>38</v>
      </c>
      <c r="B44" s="11" t="inlineStr">
        <is>
          <t>FILÉ MIGNON</t>
        </is>
      </c>
      <c r="C44" s="12" t="inlineStr">
        <is>
          <t>filé mignon puxado na manteiga, mussarela, bacon e azeitonas</t>
        </is>
      </c>
      <c r="D44" s="13" t="n">
        <v>72</v>
      </c>
      <c r="E44" s="13" t="n">
        <v>120</v>
      </c>
      <c r="F44" s="13" t="n">
        <v>97.90000000000001</v>
      </c>
      <c r="G44" s="13" t="n">
        <v>161.9</v>
      </c>
      <c r="H44" s="14" t="n"/>
      <c r="I44" s="14" t="n"/>
      <c r="J44" s="15">
        <f>IFERROR((F44-D44)/D44,"")</f>
        <v/>
      </c>
      <c r="K44" s="15">
        <f>IFERROR((G44-E44)/E44,"")</f>
        <v/>
      </c>
    </row>
    <row r="45">
      <c r="A45" s="10" t="n">
        <v>39</v>
      </c>
      <c r="B45" s="11" t="inlineStr">
        <is>
          <t>FRANGO CATUPIRY</t>
        </is>
      </c>
      <c r="C45" s="12" t="inlineStr">
        <is>
          <t>frango desfiado temperado, catupiry e azeitonas</t>
        </is>
      </c>
      <c r="D45" s="13" t="n">
        <v>47</v>
      </c>
      <c r="E45" s="13" t="n">
        <v>76</v>
      </c>
      <c r="F45" s="13" t="n">
        <v>66.90000000000001</v>
      </c>
      <c r="G45" s="13" t="n">
        <v>98.90000000000001</v>
      </c>
      <c r="H45" s="14" t="n"/>
      <c r="I45" s="14" t="n"/>
      <c r="J45" s="15">
        <f>IFERROR((F45-D45)/D45,"")</f>
        <v/>
      </c>
      <c r="K45" s="15">
        <f>IFERROR((G45-E45)/E45,"")</f>
        <v/>
      </c>
    </row>
    <row r="46">
      <c r="A46" s="10" t="n">
        <v>40</v>
      </c>
      <c r="B46" s="11" t="inlineStr">
        <is>
          <t>FRANGO ESPECIAL</t>
        </is>
      </c>
      <c r="C46" s="12" t="inlineStr">
        <is>
          <t>frango desfiado temperado, catupiry, batata palha e azeitonas</t>
        </is>
      </c>
      <c r="D46" s="13" t="n">
        <v>52</v>
      </c>
      <c r="E46" s="13" t="n">
        <v>82</v>
      </c>
      <c r="F46" s="13" t="n">
        <v>68.90000000000001</v>
      </c>
      <c r="G46" s="13" t="n">
        <v>102.9</v>
      </c>
      <c r="H46" s="14" t="n"/>
      <c r="I46" s="14" t="n"/>
      <c r="J46" s="15">
        <f>IFERROR((F46-D46)/D46,"")</f>
        <v/>
      </c>
      <c r="K46" s="15">
        <f>IFERROR((G46-E46)/E46,"")</f>
        <v/>
      </c>
    </row>
    <row r="47">
      <c r="A47" s="10" t="n">
        <v>41</v>
      </c>
      <c r="B47" s="11" t="inlineStr">
        <is>
          <t>JARDINEIRA</t>
        </is>
      </c>
      <c r="C47" s="12" t="inlineStr">
        <is>
          <t>mussarela, alho frito, orégano e azeitonas</t>
        </is>
      </c>
      <c r="D47" s="13" t="n">
        <v>45</v>
      </c>
      <c r="E47" s="13" t="n">
        <v>72</v>
      </c>
      <c r="F47" s="13" t="n">
        <v>63.9</v>
      </c>
      <c r="G47" s="13" t="n">
        <v>93.90000000000001</v>
      </c>
      <c r="H47" s="14" t="n"/>
      <c r="I47" s="14" t="n"/>
      <c r="J47" s="15">
        <f>IFERROR((F47-D47)/D47,"")</f>
        <v/>
      </c>
      <c r="K47" s="15">
        <f>IFERROR((G47-E47)/E47,"")</f>
        <v/>
      </c>
    </row>
    <row r="48">
      <c r="A48" s="10" t="n">
        <v>42</v>
      </c>
      <c r="B48" s="11" t="inlineStr">
        <is>
          <t>LIGHT</t>
        </is>
      </c>
      <c r="C48" s="12" t="inlineStr">
        <is>
          <t>brócolis, palmito, mussarela de búfala e azeitonas</t>
        </is>
      </c>
      <c r="D48" s="13" t="n">
        <v>60</v>
      </c>
      <c r="E48" s="13" t="n">
        <v>95</v>
      </c>
      <c r="F48" s="13" t="n">
        <v>83.90000000000001</v>
      </c>
      <c r="G48" s="13" t="n">
        <v>128.9</v>
      </c>
      <c r="H48" s="14" t="n"/>
      <c r="I48" s="14" t="n"/>
      <c r="J48" s="15">
        <f>IFERROR((F48-D48)/D48,"")</f>
        <v/>
      </c>
      <c r="K48" s="15">
        <f>IFERROR((G48-E48)/E48,"")</f>
        <v/>
      </c>
    </row>
    <row r="49">
      <c r="A49" s="10" t="n">
        <v>43</v>
      </c>
      <c r="B49" s="11" t="inlineStr">
        <is>
          <t>LOMBO</t>
        </is>
      </c>
      <c r="C49" s="12" t="inlineStr">
        <is>
          <t>lombo com cebola e azeitonas</t>
        </is>
      </c>
      <c r="D49" s="13" t="n">
        <v>41</v>
      </c>
      <c r="E49" s="13" t="n">
        <v>65</v>
      </c>
      <c r="F49" s="13" t="n">
        <v>58.9</v>
      </c>
      <c r="G49" s="13" t="n">
        <v>89.90000000000001</v>
      </c>
      <c r="H49" s="14" t="n"/>
      <c r="I49" s="14" t="n"/>
      <c r="J49" s="15">
        <f>IFERROR((F49-D49)/D49,"")</f>
        <v/>
      </c>
      <c r="K49" s="15">
        <f>IFERROR((G49-E49)/E49,"")</f>
        <v/>
      </c>
    </row>
    <row r="50">
      <c r="A50" s="10" t="n">
        <v>44</v>
      </c>
      <c r="B50" s="11" t="inlineStr">
        <is>
          <t>LOMBO II</t>
        </is>
      </c>
      <c r="C50" s="12" t="inlineStr">
        <is>
          <t>lombo, cebola, catupiry e azeitonas</t>
        </is>
      </c>
      <c r="D50" s="13" t="n">
        <v>50</v>
      </c>
      <c r="E50" s="13" t="n">
        <v>80</v>
      </c>
      <c r="F50" s="13" t="n">
        <v>70.90000000000001</v>
      </c>
      <c r="G50" s="13" t="n">
        <v>104.9</v>
      </c>
      <c r="H50" s="14" t="n"/>
      <c r="I50" s="14" t="n"/>
      <c r="J50" s="15">
        <f>IFERROR((F50-D50)/D50,"")</f>
        <v/>
      </c>
      <c r="K50" s="15">
        <f>IFERROR((G50-E50)/E50,"")</f>
        <v/>
      </c>
    </row>
    <row r="51">
      <c r="A51" s="10" t="n">
        <v>45</v>
      </c>
      <c r="B51" s="11" t="inlineStr">
        <is>
          <t>MARGUERITA</t>
        </is>
      </c>
      <c r="C51" s="12" t="inlineStr">
        <is>
          <t>mussarela, rodelas de tomates, manjericão, parmesão e azeitonas</t>
        </is>
      </c>
      <c r="D51" s="13" t="n">
        <v>45</v>
      </c>
      <c r="E51" s="13" t="n">
        <v>72</v>
      </c>
      <c r="F51" s="13" t="n">
        <v>63.9</v>
      </c>
      <c r="G51" s="13" t="n">
        <v>97.90000000000001</v>
      </c>
      <c r="H51" s="14" t="n"/>
      <c r="I51" s="14" t="n"/>
      <c r="J51" s="15">
        <f>IFERROR((F51-D51)/D51,"")</f>
        <v/>
      </c>
      <c r="K51" s="15">
        <f>IFERROR((G51-E51)/E51,"")</f>
        <v/>
      </c>
    </row>
    <row r="52">
      <c r="A52" s="10" t="n">
        <v>46</v>
      </c>
      <c r="B52" s="11" t="inlineStr">
        <is>
          <t>MARGUERITA ESPECIAL</t>
        </is>
      </c>
      <c r="C52" s="12" t="inlineStr">
        <is>
          <t>mussarela de búfala, tomate pelado, manjericão, parmesão e azeitonas</t>
        </is>
      </c>
      <c r="D52" s="13" t="n">
        <v>60</v>
      </c>
      <c r="E52" s="13" t="n">
        <v>95</v>
      </c>
      <c r="F52" s="13" t="n">
        <v>84.90000000000001</v>
      </c>
      <c r="G52" s="13" t="n">
        <v>129.9</v>
      </c>
      <c r="H52" s="14" t="n"/>
      <c r="I52" s="14" t="n"/>
      <c r="J52" s="15">
        <f>IFERROR((F52-D52)/D52,"")</f>
        <v/>
      </c>
      <c r="K52" s="15">
        <f>IFERROR((G52-E52)/E52,"")</f>
        <v/>
      </c>
    </row>
    <row r="53">
      <c r="A53" s="10" t="n">
        <v>47</v>
      </c>
      <c r="B53" s="11" t="inlineStr">
        <is>
          <t>MILHO</t>
        </is>
      </c>
      <c r="C53" s="12" t="inlineStr">
        <is>
          <t>milho verde, catupiry e azeitonas</t>
        </is>
      </c>
      <c r="D53" s="13" t="n">
        <v>45</v>
      </c>
      <c r="E53" s="13" t="n">
        <v>72</v>
      </c>
      <c r="F53" s="13" t="n">
        <v>62.9</v>
      </c>
      <c r="G53" s="13" t="n">
        <v>93.90000000000001</v>
      </c>
      <c r="H53" s="14" t="n"/>
      <c r="I53" s="14" t="n"/>
      <c r="J53" s="15">
        <f>IFERROR((F53-D53)/D53,"")</f>
        <v/>
      </c>
      <c r="K53" s="15">
        <f>IFERROR((G53-E53)/E53,"")</f>
        <v/>
      </c>
    </row>
    <row r="54">
      <c r="A54" s="10" t="n">
        <v>48</v>
      </c>
      <c r="B54" s="11" t="inlineStr">
        <is>
          <t>MISTA</t>
        </is>
      </c>
      <c r="C54" s="12" t="inlineStr">
        <is>
          <t>presunto, mussarela e azeitonas</t>
        </is>
      </c>
      <c r="D54" s="13" t="n">
        <v>43</v>
      </c>
      <c r="E54" s="13" t="n">
        <v>68</v>
      </c>
      <c r="F54" s="13" t="n">
        <v>61.9</v>
      </c>
      <c r="G54" s="13" t="n">
        <v>89.90000000000001</v>
      </c>
      <c r="H54" s="14" t="n"/>
      <c r="I54" s="14" t="n"/>
      <c r="J54" s="15">
        <f>IFERROR((F54-D54)/D54,"")</f>
        <v/>
      </c>
      <c r="K54" s="15">
        <f>IFERROR((G54-E54)/E54,"")</f>
        <v/>
      </c>
    </row>
    <row r="55">
      <c r="A55" s="10" t="n">
        <v>49</v>
      </c>
      <c r="B55" s="11" t="inlineStr">
        <is>
          <t>MUSSARELA</t>
        </is>
      </c>
      <c r="C55" s="12" t="inlineStr">
        <is>
          <t>mussarela e azeitonas</t>
        </is>
      </c>
      <c r="D55" s="13" t="n">
        <v>41</v>
      </c>
      <c r="E55" s="13" t="n">
        <v>65</v>
      </c>
      <c r="F55" s="13" t="n">
        <v>58.9</v>
      </c>
      <c r="G55" s="13" t="n">
        <v>89.90000000000001</v>
      </c>
      <c r="H55" s="14" t="n"/>
      <c r="I55" s="14" t="n"/>
      <c r="J55" s="15">
        <f>IFERROR((F55-D55)/D55,"")</f>
        <v/>
      </c>
      <c r="K55" s="15">
        <f>IFERROR((G55-E55)/E55,"")</f>
        <v/>
      </c>
    </row>
    <row r="56">
      <c r="A56" s="10" t="n">
        <v>50</v>
      </c>
      <c r="B56" s="11" t="inlineStr">
        <is>
          <t>NAPOLITANA</t>
        </is>
      </c>
      <c r="C56" s="12" t="inlineStr">
        <is>
          <t>mussarela, rodelas de tomate, parmesão e azeitonas</t>
        </is>
      </c>
      <c r="D56" s="13" t="n">
        <v>43</v>
      </c>
      <c r="E56" s="13" t="n">
        <v>68</v>
      </c>
      <c r="F56" s="13" t="n">
        <v>61.9</v>
      </c>
      <c r="G56" s="13" t="n">
        <v>93.90000000000001</v>
      </c>
      <c r="H56" s="14" t="n"/>
      <c r="I56" s="14" t="n"/>
      <c r="J56" s="15">
        <f>IFERROR((F56-D56)/D56,"")</f>
        <v/>
      </c>
      <c r="K56" s="15">
        <f>IFERROR((G56-E56)/E56,"")</f>
        <v/>
      </c>
    </row>
    <row r="57">
      <c r="A57" s="10" t="n">
        <v>51</v>
      </c>
      <c r="B57" s="11" t="inlineStr">
        <is>
          <t>PALMITO</t>
        </is>
      </c>
      <c r="C57" s="12" t="inlineStr">
        <is>
          <t>palmito, mussarela e azeitonas</t>
        </is>
      </c>
      <c r="D57" s="13" t="n">
        <v>58</v>
      </c>
      <c r="E57" s="13" t="n">
        <v>90</v>
      </c>
      <c r="F57" s="13" t="n">
        <v>78.90000000000001</v>
      </c>
      <c r="G57" s="13" t="n">
        <v>128.9</v>
      </c>
      <c r="H57" s="14" t="n"/>
      <c r="I57" s="14" t="n"/>
      <c r="J57" s="15">
        <f>IFERROR((F57-D57)/D57,"")</f>
        <v/>
      </c>
      <c r="K57" s="15">
        <f>IFERROR((G57-E57)/E57,"")</f>
        <v/>
      </c>
    </row>
    <row r="58">
      <c r="A58" s="10" t="n">
        <v>52</v>
      </c>
      <c r="B58" s="11" t="inlineStr">
        <is>
          <t>PEPPERONE</t>
        </is>
      </c>
      <c r="C58" s="12" t="inlineStr">
        <is>
          <t>pepperone, cebola, mussarela, parmesão e azeitonas</t>
        </is>
      </c>
      <c r="D58" s="13" t="n">
        <v>50</v>
      </c>
      <c r="E58" s="13" t="n">
        <v>80</v>
      </c>
      <c r="F58" s="13" t="n">
        <v>62.9</v>
      </c>
      <c r="G58" s="13" t="n">
        <v>103.9</v>
      </c>
      <c r="H58" s="14" t="n"/>
      <c r="I58" s="14" t="n"/>
      <c r="J58" s="15">
        <f>IFERROR((F58-D58)/D58,"")</f>
        <v/>
      </c>
      <c r="K58" s="15">
        <f>IFERROR((G58-E58)/E58,"")</f>
        <v/>
      </c>
    </row>
    <row r="59">
      <c r="A59" s="10" t="n">
        <v>53</v>
      </c>
      <c r="B59" s="11" t="inlineStr">
        <is>
          <t>PERUANA</t>
        </is>
      </c>
      <c r="C59" s="12" t="inlineStr">
        <is>
          <t>peito de peru, palmito, catupiry e azeitonas</t>
        </is>
      </c>
      <c r="D59" s="13" t="n">
        <v>60</v>
      </c>
      <c r="E59" s="13" t="n">
        <v>95</v>
      </c>
      <c r="F59" s="13" t="n">
        <v>83.90000000000001</v>
      </c>
      <c r="G59" s="13" t="n">
        <v>123.9</v>
      </c>
      <c r="H59" s="14" t="n"/>
      <c r="I59" s="14" t="n"/>
      <c r="J59" s="15">
        <f>IFERROR((F59-D59)/D59,"")</f>
        <v/>
      </c>
      <c r="K59" s="15">
        <f>IFERROR((G59-E59)/E59,"")</f>
        <v/>
      </c>
    </row>
    <row r="60">
      <c r="A60" s="10" t="n">
        <v>54</v>
      </c>
      <c r="B60" s="11" t="inlineStr">
        <is>
          <t>PORTUGUESA</t>
        </is>
      </c>
      <c r="C60" s="12" t="inlineStr">
        <is>
          <t>presunto, ovo, cebola, mussarela e azeitonas</t>
        </is>
      </c>
      <c r="D60" s="13" t="n">
        <v>45</v>
      </c>
      <c r="E60" s="13" t="n">
        <v>73</v>
      </c>
      <c r="F60" s="13" t="n">
        <v>63.9</v>
      </c>
      <c r="G60" s="13" t="n">
        <v>94.90000000000001</v>
      </c>
      <c r="H60" s="14" t="n"/>
      <c r="I60" s="14" t="n"/>
      <c r="J60" s="15">
        <f>IFERROR((F60-D60)/D60,"")</f>
        <v/>
      </c>
      <c r="K60" s="15">
        <f>IFERROR((G60-E60)/E60,"")</f>
        <v/>
      </c>
    </row>
    <row r="61">
      <c r="A61" s="10" t="n">
        <v>55</v>
      </c>
      <c r="B61" s="11" t="inlineStr">
        <is>
          <t>PORTUGUESA II</t>
        </is>
      </c>
      <c r="C61" s="12" t="inlineStr">
        <is>
          <t>presunto, ovo, palmito, ervilha, cebola, mussarela e azeitonas</t>
        </is>
      </c>
      <c r="D61" s="13" t="n">
        <v>58</v>
      </c>
      <c r="E61" s="13" t="n">
        <v>90</v>
      </c>
      <c r="F61" s="13" t="n">
        <v>79.90000000000001</v>
      </c>
      <c r="G61" s="13" t="n">
        <v>122.9</v>
      </c>
      <c r="H61" s="14" t="n"/>
      <c r="I61" s="14" t="n"/>
      <c r="J61" s="15">
        <f>IFERROR((F61-D61)/D61,"")</f>
        <v/>
      </c>
      <c r="K61" s="15">
        <f>IFERROR((G61-E61)/E61,"")</f>
        <v/>
      </c>
    </row>
    <row r="62">
      <c r="A62" s="10" t="n">
        <v>56</v>
      </c>
      <c r="B62" s="11" t="inlineStr">
        <is>
          <t>PRIMEIRA CLASSE</t>
        </is>
      </c>
      <c r="C62" s="12" t="inlineStr">
        <is>
          <t>mussarela, rúcula, tomate seco e azeitonas</t>
        </is>
      </c>
      <c r="D62" s="13" t="n">
        <v>45</v>
      </c>
      <c r="E62" s="13" t="n">
        <v>73</v>
      </c>
      <c r="F62" s="13" t="n">
        <v>64.90000000000001</v>
      </c>
      <c r="G62" s="13" t="n">
        <v>94.90000000000001</v>
      </c>
      <c r="H62" s="14" t="n"/>
      <c r="I62" s="14" t="n"/>
      <c r="J62" s="15">
        <f>IFERROR((F62-D62)/D62,"")</f>
        <v/>
      </c>
      <c r="K62" s="15">
        <f>IFERROR((G62-E62)/E62,"")</f>
        <v/>
      </c>
    </row>
    <row r="63">
      <c r="A63" s="10" t="n">
        <v>57</v>
      </c>
      <c r="B63" s="11" t="inlineStr">
        <is>
          <t>ROMANA</t>
        </is>
      </c>
      <c r="C63" s="12" t="inlineStr">
        <is>
          <t>mussarela, filé de aliche importado e azeitonas</t>
        </is>
      </c>
      <c r="D63" s="13" t="n">
        <v>60</v>
      </c>
      <c r="E63" s="13" t="n">
        <v>95</v>
      </c>
      <c r="F63" s="13" t="n">
        <v>84.90000000000001</v>
      </c>
      <c r="G63" s="13" t="n">
        <v>129.9</v>
      </c>
      <c r="H63" s="14" t="n"/>
      <c r="I63" s="14" t="n"/>
      <c r="J63" s="15">
        <f>IFERROR((F63-D63)/D63,"")</f>
        <v/>
      </c>
      <c r="K63" s="15">
        <f>IFERROR((G63-E63)/E63,"")</f>
        <v/>
      </c>
    </row>
    <row r="64">
      <c r="A64" s="10" t="n">
        <v>58</v>
      </c>
      <c r="B64" s="11" t="inlineStr">
        <is>
          <t>RÚCULA</t>
        </is>
      </c>
      <c r="C64" s="12" t="inlineStr">
        <is>
          <t>mussarela de búfala, rúcula, tomate seco e azeitonas</t>
        </is>
      </c>
      <c r="D64" s="13" t="n">
        <v>58</v>
      </c>
      <c r="E64" s="13" t="n">
        <v>90</v>
      </c>
      <c r="F64" s="13" t="n">
        <v>80.90000000000001</v>
      </c>
      <c r="G64" s="13" t="n">
        <v>122.9</v>
      </c>
      <c r="H64" s="14" t="n"/>
      <c r="I64" s="14" t="n"/>
      <c r="J64" s="15">
        <f>IFERROR((F64-D64)/D64,"")</f>
        <v/>
      </c>
      <c r="K64" s="15">
        <f>IFERROR((G64-E64)/E64,"")</f>
        <v/>
      </c>
    </row>
    <row r="65">
      <c r="A65" s="10" t="n">
        <v>59</v>
      </c>
      <c r="B65" s="11" t="inlineStr">
        <is>
          <t>SICILIANA</t>
        </is>
      </c>
      <c r="C65" s="12" t="inlineStr">
        <is>
          <t>mussarela, calabresa, parmesão e azeitonas</t>
        </is>
      </c>
      <c r="D65" s="13" t="n">
        <v>50</v>
      </c>
      <c r="E65" s="13" t="n">
        <v>80</v>
      </c>
      <c r="F65" s="13" t="n">
        <v>72.90000000000001</v>
      </c>
      <c r="G65" s="13" t="n">
        <v>108.9</v>
      </c>
      <c r="H65" s="14" t="n"/>
      <c r="I65" s="14" t="n"/>
      <c r="J65" s="15">
        <f>IFERROR((F65-D65)/D65,"")</f>
        <v/>
      </c>
      <c r="K65" s="15">
        <f>IFERROR((G65-E65)/E65,"")</f>
        <v/>
      </c>
    </row>
    <row r="66">
      <c r="A66" s="10" t="n">
        <v>60</v>
      </c>
      <c r="B66" s="11" t="inlineStr">
        <is>
          <t>STROGONOFF</t>
        </is>
      </c>
      <c r="C66" s="12" t="inlineStr">
        <is>
          <t>filé mignon com champignon puxado na manteiga, catupiry e azeitonas</t>
        </is>
      </c>
      <c r="D66" s="13" t="n">
        <v>70</v>
      </c>
      <c r="E66" s="13" t="n">
        <v>110</v>
      </c>
      <c r="F66" s="13" t="n">
        <v>96.90000000000001</v>
      </c>
      <c r="G66" s="13" t="n">
        <v>148.9</v>
      </c>
      <c r="H66" s="14" t="n"/>
      <c r="I66" s="14" t="n"/>
      <c r="J66" s="15">
        <f>IFERROR((F66-D66)/D66,"")</f>
        <v/>
      </c>
      <c r="K66" s="15">
        <f>IFERROR((G66-E66)/E66,"")</f>
        <v/>
      </c>
    </row>
    <row r="67">
      <c r="A67" s="10" t="n">
        <v>61</v>
      </c>
      <c r="B67" s="11" t="inlineStr">
        <is>
          <t>TOMATE SECO</t>
        </is>
      </c>
      <c r="C67" s="12" t="inlineStr">
        <is>
          <t>mussarela com tomate seco e azeitonas</t>
        </is>
      </c>
      <c r="D67" s="13" t="n">
        <v>75</v>
      </c>
      <c r="E67" s="13" t="n">
        <v>72</v>
      </c>
      <c r="F67" s="13" t="n">
        <v>63.9</v>
      </c>
      <c r="G67" s="13" t="n">
        <v>98.90000000000001</v>
      </c>
      <c r="H67" s="14" t="n"/>
      <c r="I67" s="14" t="n"/>
      <c r="J67" s="15">
        <f>IFERROR((F67-D67)/D67,"")</f>
        <v/>
      </c>
      <c r="K67" s="15">
        <f>IFERROR((G67-E67)/E67,"")</f>
        <v/>
      </c>
    </row>
    <row r="68">
      <c r="A68" s="10" t="n">
        <v>62</v>
      </c>
      <c r="B68" s="11" t="inlineStr">
        <is>
          <t>TOSCANA</t>
        </is>
      </c>
      <c r="C68" s="12" t="inlineStr">
        <is>
          <t>catupiry, calabresa moída e azeitonas</t>
        </is>
      </c>
      <c r="D68" s="13" t="n">
        <v>46</v>
      </c>
      <c r="E68" s="13" t="n">
        <v>77</v>
      </c>
      <c r="F68" s="13" t="n">
        <v>65.90000000000001</v>
      </c>
      <c r="G68" s="13" t="n">
        <v>102.9</v>
      </c>
      <c r="H68" s="14" t="n"/>
      <c r="I68" s="14" t="n"/>
      <c r="J68" s="15">
        <f>IFERROR((F68-D68)/D68,"")</f>
        <v/>
      </c>
      <c r="K68" s="15">
        <f>IFERROR((G68-E68)/E68,"")</f>
        <v/>
      </c>
    </row>
    <row r="69">
      <c r="A69" s="10" t="n">
        <v>63</v>
      </c>
      <c r="B69" s="11" t="inlineStr">
        <is>
          <t>VEGETARIANA</t>
        </is>
      </c>
      <c r="C69" s="12" t="inlineStr">
        <is>
          <t>palmito, ervilha, milho, parmesão e azeitonas</t>
        </is>
      </c>
      <c r="D69" s="13" t="n">
        <v>53</v>
      </c>
      <c r="E69" s="13" t="n">
        <v>85</v>
      </c>
      <c r="F69" s="13" t="n">
        <v>75.90000000000001</v>
      </c>
      <c r="G69" s="13" t="n">
        <v>115.9</v>
      </c>
      <c r="H69" s="14" t="n"/>
      <c r="I69" s="14" t="n"/>
      <c r="J69" s="15">
        <f>IFERROR((F69-D69)/D69,"")</f>
        <v/>
      </c>
      <c r="K69" s="15">
        <f>IFERROR((G69-E69)/E69,"")</f>
        <v/>
      </c>
    </row>
    <row r="70">
      <c r="A70" s="10" t="n">
        <v>64</v>
      </c>
      <c r="B70" s="11" t="inlineStr">
        <is>
          <t>BANANA</t>
        </is>
      </c>
      <c r="C70" s="12" t="inlineStr">
        <is>
          <t>banana, açúcar, canela e mel</t>
        </is>
      </c>
      <c r="D70" s="13" t="n">
        <v>34</v>
      </c>
      <c r="E70" s="13" t="n">
        <v>55</v>
      </c>
      <c r="F70" s="13" t="n">
        <v>43.9</v>
      </c>
      <c r="G70" s="13" t="n">
        <v>69.90000000000001</v>
      </c>
      <c r="H70" s="14" t="n"/>
      <c r="I70" s="14" t="n"/>
      <c r="J70" s="15">
        <f>IFERROR((F70-D70)/D70,"")</f>
        <v/>
      </c>
      <c r="K70" s="15">
        <f>IFERROR((G70-E70)/E70,"")</f>
        <v/>
      </c>
    </row>
    <row r="71">
      <c r="A71" s="10" t="n">
        <v>65</v>
      </c>
      <c r="B71" s="11" t="inlineStr">
        <is>
          <t>BRIGADEIRO</t>
        </is>
      </c>
      <c r="C71" s="12" t="inlineStr">
        <is>
          <t>chocolate ao leite com chocolate granulado</t>
        </is>
      </c>
      <c r="D71" s="13" t="n">
        <v>34</v>
      </c>
      <c r="E71" s="13" t="n">
        <v>55</v>
      </c>
      <c r="F71" s="13" t="n">
        <v>43.9</v>
      </c>
      <c r="G71" s="13" t="n">
        <v>69.90000000000001</v>
      </c>
      <c r="H71" s="14" t="n"/>
      <c r="I71" s="14" t="n"/>
      <c r="J71" s="15">
        <f>IFERROR((F71-D71)/D71,"")</f>
        <v/>
      </c>
      <c r="K71" s="15">
        <f>IFERROR((G71-E71)/E71,"")</f>
        <v/>
      </c>
    </row>
    <row r="72">
      <c r="A72" s="10" t="n">
        <v>66</v>
      </c>
      <c r="B72" s="11" t="inlineStr">
        <is>
          <t>ROMEU E JULIETA</t>
        </is>
      </c>
      <c r="C72" s="12" t="inlineStr">
        <is>
          <t>goiabada com catupiry</t>
        </is>
      </c>
      <c r="D72" s="13" t="n">
        <v>34</v>
      </c>
      <c r="E72" s="13" t="n">
        <v>55</v>
      </c>
      <c r="F72" s="13" t="n">
        <v>59.9</v>
      </c>
      <c r="G72" s="13" t="n">
        <v>89.90000000000001</v>
      </c>
      <c r="H72" s="14" t="n"/>
      <c r="I72" s="14" t="n"/>
      <c r="J72" s="15">
        <f>IFERROR((F72-D72)/D72,"")</f>
        <v/>
      </c>
      <c r="K72" s="15">
        <f>IFERROR((G72-E72)/E72,"")</f>
        <v/>
      </c>
    </row>
    <row r="73">
      <c r="A73" s="10" t="n">
        <v>67</v>
      </c>
      <c r="B73" s="11" t="inlineStr">
        <is>
          <t>CHOCOLATE COM MORANGO</t>
        </is>
      </c>
      <c r="C73" s="12" t="inlineStr">
        <is>
          <t>chocolate ao leite com morango ou fruta da época</t>
        </is>
      </c>
      <c r="D73" s="13" t="n">
        <v>41</v>
      </c>
      <c r="E73" s="13" t="n">
        <v>65</v>
      </c>
      <c r="F73" s="13" t="n">
        <v>65.90000000000001</v>
      </c>
      <c r="G73" s="13" t="n">
        <v>89.90000000000001</v>
      </c>
      <c r="H73" s="14" t="n"/>
      <c r="I73" s="14" t="n"/>
      <c r="J73" s="15">
        <f>IFERROR((F73-D73)/D73,"")</f>
        <v/>
      </c>
      <c r="K73" s="15">
        <f>IFERROR((G73-E73)/E73,"")</f>
        <v/>
      </c>
    </row>
    <row r="74">
      <c r="A74" s="10" t="n">
        <v>68</v>
      </c>
      <c r="B74" s="11" t="inlineStr">
        <is>
          <t>TORTA HOLANDESA</t>
        </is>
      </c>
      <c r="C74" s="12" t="inlineStr">
        <is>
          <t>torta gelada de creme com cobertura de chocolate</t>
        </is>
      </c>
      <c r="D74" s="13" t="n">
        <v>12</v>
      </c>
      <c r="E74" s="13" t="n"/>
      <c r="F74" s="13" t="n"/>
      <c r="G74" s="13" t="n"/>
      <c r="H74" s="14" t="n"/>
      <c r="I74" s="14" t="n"/>
      <c r="J74" s="15">
        <f>IFERROR((F74-D74)/D74,"")</f>
        <v/>
      </c>
      <c r="K74" s="15">
        <f>IFERROR((G74-E74)/E74,"")</f>
        <v/>
      </c>
    </row>
  </sheetData>
  <mergeCells count="7">
    <mergeCell ref="F4:G4"/>
    <mergeCell ref="A6:K6"/>
    <mergeCell ref="J4:K4"/>
    <mergeCell ref="A2:K2"/>
    <mergeCell ref="D4:E4"/>
    <mergeCell ref="H4:I4"/>
    <mergeCell ref="A1:K1"/>
  </mergeCells>
  <conditionalFormatting sqref="J7:K74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22" customWidth="1" min="4" max="4"/>
  </cols>
  <sheetData>
    <row r="1">
      <c r="A1" s="1" t="inlineStr">
        <is>
          <t>Preços extraídos do iFood — 11/06/2026</t>
        </is>
      </c>
    </row>
    <row r="2" ht="32" customHeight="1">
      <c r="A2" s="2" t="inlineStr">
        <is>
          <t>Trilha de auditoria. Cada linha é um item exatamente como aparece no cardápio do iFood. Itens em laranja são EXTRAS que não têm correspondência direta na tabela oficial — vale revisar se ainda fazem sentido.</t>
        </is>
      </c>
    </row>
    <row r="4">
      <c r="A4" s="16" t="inlineStr">
        <is>
          <t>Nome no iFood</t>
        </is>
      </c>
      <c r="B4" s="16" t="inlineStr">
        <is>
          <t>Brotinho</t>
        </is>
      </c>
      <c r="C4" s="16" t="inlineStr">
        <is>
          <t>Grande</t>
        </is>
      </c>
      <c r="D4" s="16" t="inlineStr">
        <is>
          <t>Status</t>
        </is>
      </c>
    </row>
    <row r="5">
      <c r="A5" s="17" t="inlineStr">
        <is>
          <t>Atum Especial</t>
        </is>
      </c>
      <c r="B5" s="13" t="n">
        <v>76.90000000000001</v>
      </c>
      <c r="C5" s="13" t="n">
        <v>116.9</v>
      </c>
      <c r="D5" s="18" t="inlineStr">
        <is>
          <t>OK</t>
        </is>
      </c>
    </row>
    <row r="6">
      <c r="A6" s="17" t="inlineStr">
        <is>
          <t>Chocolate com morango</t>
        </is>
      </c>
      <c r="B6" s="13" t="n">
        <v>65.90000000000001</v>
      </c>
      <c r="C6" s="13" t="n">
        <v>89.90000000000001</v>
      </c>
      <c r="D6" s="18" t="inlineStr">
        <is>
          <t>OK</t>
        </is>
      </c>
    </row>
    <row r="7">
      <c r="A7" s="17" t="inlineStr">
        <is>
          <t>Pizza 2 Queijos</t>
        </is>
      </c>
      <c r="B7" s="13" t="n">
        <v>68.90000000000001</v>
      </c>
      <c r="C7" s="13" t="n">
        <v>99.90000000000001</v>
      </c>
      <c r="D7" s="18" t="inlineStr">
        <is>
          <t>OK</t>
        </is>
      </c>
    </row>
    <row r="8">
      <c r="A8" s="17" t="inlineStr">
        <is>
          <t>Pizza 4 Queijos</t>
        </is>
      </c>
      <c r="B8" s="13" t="n">
        <v>76.90000000000001</v>
      </c>
      <c r="C8" s="13" t="n">
        <v>110.9</v>
      </c>
      <c r="D8" s="18" t="inlineStr">
        <is>
          <t>OK</t>
        </is>
      </c>
    </row>
    <row r="9">
      <c r="A9" s="17" t="inlineStr">
        <is>
          <t>Pizza 5 Queijos</t>
        </is>
      </c>
      <c r="B9" s="13" t="n">
        <v>83.90000000000001</v>
      </c>
      <c r="C9" s="13" t="n">
        <v>128.9</v>
      </c>
      <c r="D9" s="18" t="inlineStr">
        <is>
          <t>OK</t>
        </is>
      </c>
    </row>
    <row r="10">
      <c r="A10" s="17" t="inlineStr">
        <is>
          <t>Pizza Abobrinha</t>
        </is>
      </c>
      <c r="B10" s="13" t="n">
        <v>59.9</v>
      </c>
      <c r="C10" s="13" t="n">
        <v>93.90000000000001</v>
      </c>
      <c r="D10" s="18" t="inlineStr">
        <is>
          <t>OK</t>
        </is>
      </c>
    </row>
    <row r="11">
      <c r="A11" s="17" t="inlineStr">
        <is>
          <t>Pizza Aladinele</t>
        </is>
      </c>
      <c r="B11" s="13" t="n">
        <v>69.90000000000001</v>
      </c>
      <c r="C11" s="13" t="n">
        <v>99.90000000000001</v>
      </c>
      <c r="D11" s="18" t="inlineStr">
        <is>
          <t>OK</t>
        </is>
      </c>
    </row>
    <row r="12">
      <c r="A12" s="17" t="inlineStr">
        <is>
          <t>Pizza Alcachofra</t>
        </is>
      </c>
      <c r="B12" s="13" t="n">
        <v>69.90000000000001</v>
      </c>
      <c r="C12" s="13" t="n">
        <v>110.9</v>
      </c>
      <c r="D12" s="18" t="inlineStr">
        <is>
          <t>OK</t>
        </is>
      </c>
    </row>
    <row r="13">
      <c r="A13" s="17" t="inlineStr">
        <is>
          <t>Pizza Alcachofra Especial</t>
        </is>
      </c>
      <c r="B13" s="13" t="n">
        <v>81.90000000000001</v>
      </c>
      <c r="C13" s="13" t="n">
        <v>125.9</v>
      </c>
      <c r="D13" s="18" t="inlineStr">
        <is>
          <t>OK</t>
        </is>
      </c>
    </row>
    <row r="14">
      <c r="A14" s="17" t="inlineStr">
        <is>
          <t>Pizza Alho</t>
        </is>
      </c>
      <c r="B14" s="13" t="n">
        <v>63.9</v>
      </c>
      <c r="C14" s="13" t="n">
        <v>98.90000000000001</v>
      </c>
      <c r="D14" s="18" t="inlineStr">
        <is>
          <t>OK</t>
        </is>
      </c>
    </row>
    <row r="15">
      <c r="A15" s="17" t="inlineStr">
        <is>
          <t>Pizza Alho Poró</t>
        </is>
      </c>
      <c r="B15" s="13" t="n">
        <v>63.9</v>
      </c>
      <c r="C15" s="13" t="n">
        <v>93.90000000000001</v>
      </c>
      <c r="D15" s="18" t="inlineStr">
        <is>
          <t>OK</t>
        </is>
      </c>
    </row>
    <row r="16">
      <c r="A16" s="17" t="inlineStr">
        <is>
          <t>Pizza Aliche Importado</t>
        </is>
      </c>
      <c r="B16" s="13" t="n">
        <v>82.90000000000001</v>
      </c>
      <c r="C16" s="13" t="n">
        <v>125.9</v>
      </c>
      <c r="D16" s="18" t="inlineStr">
        <is>
          <t>OK</t>
        </is>
      </c>
    </row>
    <row r="17">
      <c r="A17" s="17" t="inlineStr">
        <is>
          <t>Pizza Americana</t>
        </is>
      </c>
      <c r="B17" s="13" t="n">
        <v>64.90000000000001</v>
      </c>
      <c r="C17" s="13" t="n">
        <v>105.9</v>
      </c>
      <c r="D17" s="18" t="inlineStr">
        <is>
          <t>OK</t>
        </is>
      </c>
    </row>
    <row r="18">
      <c r="A18" s="17" t="inlineStr">
        <is>
          <t>Pizza Artes Da Pizza</t>
        </is>
      </c>
      <c r="B18" s="13" t="n">
        <v>64.90000000000001</v>
      </c>
      <c r="C18" s="13" t="n">
        <v>102.9</v>
      </c>
      <c r="D18" s="18" t="inlineStr">
        <is>
          <t>OK</t>
        </is>
      </c>
    </row>
    <row r="19">
      <c r="A19" s="17" t="inlineStr">
        <is>
          <t>Pizza Atum</t>
        </is>
      </c>
      <c r="B19" s="13" t="n">
        <v>52.9</v>
      </c>
      <c r="C19" s="13" t="n">
        <v>79.90000000000001</v>
      </c>
      <c r="D19" s="18" t="inlineStr">
        <is>
          <t>OK</t>
        </is>
      </c>
    </row>
    <row r="20">
      <c r="A20" s="17" t="inlineStr">
        <is>
          <t>Pizza Bacon</t>
        </is>
      </c>
      <c r="B20" s="13" t="n">
        <v>59.9</v>
      </c>
      <c r="C20" s="13" t="n">
        <v>97.90000000000001</v>
      </c>
      <c r="D20" s="18" t="inlineStr">
        <is>
          <t>OK</t>
        </is>
      </c>
    </row>
    <row r="21">
      <c r="A21" s="17" t="inlineStr">
        <is>
          <t>Pizza Baiana</t>
        </is>
      </c>
      <c r="B21" s="13" t="n">
        <v>58.9</v>
      </c>
      <c r="C21" s="13" t="n">
        <v>88.90000000000001</v>
      </c>
      <c r="D21" s="18" t="inlineStr">
        <is>
          <t>OK</t>
        </is>
      </c>
    </row>
    <row r="22">
      <c r="A22" s="17" t="inlineStr">
        <is>
          <t>Pizza Banana</t>
        </is>
      </c>
      <c r="B22" s="13" t="n">
        <v>43.9</v>
      </c>
      <c r="C22" s="13" t="n">
        <v>69.90000000000001</v>
      </c>
      <c r="D22" s="18" t="inlineStr">
        <is>
          <t>OK</t>
        </is>
      </c>
    </row>
    <row r="23">
      <c r="A23" s="17" t="inlineStr">
        <is>
          <t>Pizza Berinjela</t>
        </is>
      </c>
      <c r="B23" s="13" t="n">
        <v>58.9</v>
      </c>
      <c r="C23" s="13" t="n">
        <v>88.90000000000001</v>
      </c>
      <c r="D23" s="18" t="inlineStr">
        <is>
          <t>OK</t>
        </is>
      </c>
    </row>
    <row r="24">
      <c r="A24" s="17" t="inlineStr">
        <is>
          <t>Pizza Brigadeiro</t>
        </is>
      </c>
      <c r="B24" s="13" t="n">
        <v>43.9</v>
      </c>
      <c r="C24" s="13" t="n">
        <v>69.90000000000001</v>
      </c>
      <c r="D24" s="18" t="inlineStr">
        <is>
          <t>OK</t>
        </is>
      </c>
    </row>
    <row r="25">
      <c r="A25" s="17" t="inlineStr">
        <is>
          <t>Pizza Brócolis</t>
        </is>
      </c>
      <c r="B25" s="13" t="n">
        <v>58.9</v>
      </c>
      <c r="C25" s="13" t="n">
        <v>89.90000000000001</v>
      </c>
      <c r="D25" s="18" t="inlineStr">
        <is>
          <t>OK</t>
        </is>
      </c>
    </row>
    <row r="26">
      <c r="A26" s="17" t="inlineStr">
        <is>
          <t>Pizza Brócolis 2</t>
        </is>
      </c>
      <c r="B26" s="13" t="n">
        <v>65.90000000000001</v>
      </c>
      <c r="C26" s="13" t="n">
        <v>99.90000000000001</v>
      </c>
      <c r="D26" s="18" t="inlineStr">
        <is>
          <t>OK</t>
        </is>
      </c>
    </row>
    <row r="27">
      <c r="A27" s="17" t="inlineStr">
        <is>
          <t>Pizza Brócolis 3</t>
        </is>
      </c>
      <c r="B27" s="13" t="n">
        <v>65.90000000000001</v>
      </c>
      <c r="C27" s="13" t="n">
        <v>99.90000000000001</v>
      </c>
      <c r="D27" s="18" t="inlineStr">
        <is>
          <t>OK</t>
        </is>
      </c>
    </row>
    <row r="28">
      <c r="A28" s="17" t="inlineStr">
        <is>
          <t>Pizza Búfala</t>
        </is>
      </c>
      <c r="B28" s="13" t="n">
        <v>62.9</v>
      </c>
      <c r="C28" s="13" t="n">
        <v>92.90000000000001</v>
      </c>
      <c r="D28" s="18" t="inlineStr">
        <is>
          <t>OK</t>
        </is>
      </c>
    </row>
    <row r="29">
      <c r="A29" s="17" t="inlineStr">
        <is>
          <t>Pizza Caipira</t>
        </is>
      </c>
      <c r="B29" s="13" t="n">
        <v>65.90000000000001</v>
      </c>
      <c r="C29" s="13" t="n">
        <v>98.90000000000001</v>
      </c>
      <c r="D29" s="18" t="inlineStr">
        <is>
          <t>OK</t>
        </is>
      </c>
    </row>
    <row r="30">
      <c r="A30" s="17" t="inlineStr">
        <is>
          <t>Pizza Calabresa</t>
        </is>
      </c>
      <c r="B30" s="13" t="n">
        <v>58.9</v>
      </c>
      <c r="C30" s="13" t="n">
        <v>88.90000000000001</v>
      </c>
      <c r="D30" s="18" t="inlineStr">
        <is>
          <t>OK</t>
        </is>
      </c>
    </row>
    <row r="31">
      <c r="A31" s="17" t="inlineStr">
        <is>
          <t>Pizza Calacatu</t>
        </is>
      </c>
      <c r="B31" s="13" t="n">
        <v>65.90000000000001</v>
      </c>
      <c r="C31" s="13" t="n">
        <v>99.90000000000001</v>
      </c>
      <c r="D31" s="18" t="inlineStr">
        <is>
          <t>OK</t>
        </is>
      </c>
    </row>
    <row r="32">
      <c r="A32" s="17" t="inlineStr">
        <is>
          <t>Pizza Camarão</t>
        </is>
      </c>
      <c r="B32" s="13" t="n">
        <v>95.90000000000001</v>
      </c>
      <c r="C32" s="13" t="n">
        <v>162.9</v>
      </c>
      <c r="D32" s="18" t="inlineStr">
        <is>
          <t>OK</t>
        </is>
      </c>
    </row>
    <row r="33">
      <c r="A33" s="17" t="inlineStr">
        <is>
          <t>Pizza Caprichosa</t>
        </is>
      </c>
      <c r="B33" s="13" t="n">
        <v>69.90000000000001</v>
      </c>
      <c r="C33" s="13" t="n">
        <v>109.9</v>
      </c>
      <c r="D33" s="18" t="inlineStr">
        <is>
          <t>OK</t>
        </is>
      </c>
    </row>
    <row r="34">
      <c r="A34" s="17" t="inlineStr">
        <is>
          <t>Pizza Carne Seca</t>
        </is>
      </c>
      <c r="B34" s="13" t="n">
        <v>83.90000000000001</v>
      </c>
      <c r="C34" s="13" t="n">
        <v>126.9</v>
      </c>
      <c r="D34" s="18" t="inlineStr">
        <is>
          <t>OK</t>
        </is>
      </c>
    </row>
    <row r="35">
      <c r="A35" s="17" t="inlineStr">
        <is>
          <t>Pizza Catupiry</t>
        </is>
      </c>
      <c r="B35" s="13" t="n">
        <v>57.9</v>
      </c>
      <c r="C35" s="13" t="n">
        <v>87.90000000000001</v>
      </c>
      <c r="D35" s="18" t="inlineStr">
        <is>
          <t>OK</t>
        </is>
      </c>
    </row>
    <row r="36">
      <c r="A36" s="17" t="inlineStr">
        <is>
          <t>Pizza Classe Especial</t>
        </is>
      </c>
      <c r="B36" s="13" t="n">
        <v>57.9</v>
      </c>
      <c r="C36" s="13" t="n">
        <v>89.90000000000001</v>
      </c>
      <c r="D36" s="18" t="inlineStr">
        <is>
          <t>OK</t>
        </is>
      </c>
    </row>
    <row r="37">
      <c r="A37" s="17" t="inlineStr">
        <is>
          <t>Pizza Do Pizzaiolo</t>
        </is>
      </c>
      <c r="B37" s="13" t="n">
        <v>64.90000000000001</v>
      </c>
      <c r="C37" s="13" t="n">
        <v>96.90000000000001</v>
      </c>
      <c r="D37" s="18" t="inlineStr">
        <is>
          <t>OK</t>
        </is>
      </c>
    </row>
    <row r="38">
      <c r="A38" s="17" t="inlineStr">
        <is>
          <t>Pizza Escarola</t>
        </is>
      </c>
      <c r="B38" s="13" t="n">
        <v>55.9</v>
      </c>
      <c r="C38" s="13" t="n">
        <v>85.90000000000001</v>
      </c>
      <c r="D38" s="18" t="inlineStr">
        <is>
          <t>OK</t>
        </is>
      </c>
    </row>
    <row r="39">
      <c r="A39" s="17" t="inlineStr">
        <is>
          <t>Pizza Escarola Especial</t>
        </is>
      </c>
      <c r="B39" s="13" t="n">
        <v>63.9</v>
      </c>
      <c r="C39" s="13" t="n">
        <v>96.90000000000001</v>
      </c>
      <c r="D39" s="18" t="inlineStr">
        <is>
          <t>OK</t>
        </is>
      </c>
    </row>
    <row r="40">
      <c r="A40" s="17" t="inlineStr">
        <is>
          <t>Pizza Espanhola</t>
        </is>
      </c>
      <c r="B40" s="13" t="n">
        <v>83.90000000000001</v>
      </c>
      <c r="C40" s="13" t="n">
        <v>128.9</v>
      </c>
      <c r="D40" s="18" t="inlineStr">
        <is>
          <t>OK</t>
        </is>
      </c>
    </row>
    <row r="41">
      <c r="A41" s="17" t="inlineStr">
        <is>
          <t>Pizza Especial</t>
        </is>
      </c>
      <c r="B41" s="13" t="n">
        <v>83.90000000000001</v>
      </c>
      <c r="C41" s="13" t="n">
        <v>128.9</v>
      </c>
      <c r="D41" s="18" t="inlineStr">
        <is>
          <t>OK</t>
        </is>
      </c>
    </row>
    <row r="42">
      <c r="A42" s="17" t="inlineStr">
        <is>
          <t>Pizza Executiva</t>
        </is>
      </c>
      <c r="B42" s="13" t="n">
        <v>59.9</v>
      </c>
      <c r="C42" s="13" t="n">
        <v>87.90000000000001</v>
      </c>
      <c r="D42" s="18" t="inlineStr">
        <is>
          <t>OK</t>
        </is>
      </c>
    </row>
    <row r="43">
      <c r="A43" s="17" t="inlineStr">
        <is>
          <t>Pizza Favorita</t>
        </is>
      </c>
      <c r="B43" s="13" t="n">
        <v>59.9</v>
      </c>
      <c r="C43" s="13" t="n">
        <v>93.90000000000001</v>
      </c>
      <c r="D43" s="18" t="inlineStr">
        <is>
          <t>OK</t>
        </is>
      </c>
    </row>
    <row r="44">
      <c r="A44" s="17" t="inlineStr">
        <is>
          <t>Pizza Filé Mignon</t>
        </is>
      </c>
      <c r="B44" s="13" t="n">
        <v>97.90000000000001</v>
      </c>
      <c r="C44" s="13" t="n">
        <v>161.9</v>
      </c>
      <c r="D44" s="18" t="inlineStr">
        <is>
          <t>OK</t>
        </is>
      </c>
    </row>
    <row r="45">
      <c r="A45" s="17" t="inlineStr">
        <is>
          <t>Pizza Frango Catupiry</t>
        </is>
      </c>
      <c r="B45" s="13" t="n">
        <v>66.90000000000001</v>
      </c>
      <c r="C45" s="13" t="n">
        <v>98.90000000000001</v>
      </c>
      <c r="D45" s="18" t="inlineStr">
        <is>
          <t>OK</t>
        </is>
      </c>
    </row>
    <row r="46">
      <c r="A46" s="17" t="inlineStr">
        <is>
          <t>Pizza Frango Especial</t>
        </is>
      </c>
      <c r="B46" s="13" t="n">
        <v>68.90000000000001</v>
      </c>
      <c r="C46" s="13" t="n">
        <v>102.9</v>
      </c>
      <c r="D46" s="18" t="inlineStr">
        <is>
          <t>OK</t>
        </is>
      </c>
    </row>
    <row r="47">
      <c r="A47" s="17" t="inlineStr">
        <is>
          <t>Pizza Jardineira</t>
        </is>
      </c>
      <c r="B47" s="13" t="n">
        <v>63.9</v>
      </c>
      <c r="C47" s="13" t="n">
        <v>93.90000000000001</v>
      </c>
      <c r="D47" s="18" t="inlineStr">
        <is>
          <t>OK</t>
        </is>
      </c>
    </row>
    <row r="48">
      <c r="A48" s="17" t="inlineStr">
        <is>
          <t>Pizza Light</t>
        </is>
      </c>
      <c r="B48" s="13" t="n">
        <v>83.90000000000001</v>
      </c>
      <c r="C48" s="13" t="n">
        <v>128.9</v>
      </c>
      <c r="D48" s="18" t="inlineStr">
        <is>
          <t>OK</t>
        </is>
      </c>
    </row>
    <row r="49">
      <c r="A49" s="17" t="inlineStr">
        <is>
          <t>Pizza Lombo</t>
        </is>
      </c>
      <c r="B49" s="13" t="n">
        <v>58.9</v>
      </c>
      <c r="C49" s="13" t="n">
        <v>89.90000000000001</v>
      </c>
      <c r="D49" s="18" t="inlineStr">
        <is>
          <t>OK</t>
        </is>
      </c>
    </row>
    <row r="50">
      <c r="A50" s="17" t="inlineStr">
        <is>
          <t>Pizza Lombo 2</t>
        </is>
      </c>
      <c r="B50" s="13" t="n">
        <v>70.90000000000001</v>
      </c>
      <c r="C50" s="13" t="n">
        <v>104.9</v>
      </c>
      <c r="D50" s="18" t="inlineStr">
        <is>
          <t>OK</t>
        </is>
      </c>
    </row>
    <row r="51">
      <c r="A51" s="17" t="inlineStr">
        <is>
          <t>Pizza Marguerita</t>
        </is>
      </c>
      <c r="B51" s="13" t="n">
        <v>63.9</v>
      </c>
      <c r="C51" s="13" t="n">
        <v>97.90000000000001</v>
      </c>
      <c r="D51" s="18" t="inlineStr">
        <is>
          <t>OK</t>
        </is>
      </c>
    </row>
    <row r="52">
      <c r="A52" s="17" t="inlineStr">
        <is>
          <t>Pizza Marguerita Especial</t>
        </is>
      </c>
      <c r="B52" s="13" t="n">
        <v>84.90000000000001</v>
      </c>
      <c r="C52" s="13" t="n">
        <v>129.9</v>
      </c>
      <c r="D52" s="18" t="inlineStr">
        <is>
          <t>OK</t>
        </is>
      </c>
    </row>
    <row r="53">
      <c r="A53" s="17" t="inlineStr">
        <is>
          <t>Pizza Milho</t>
        </is>
      </c>
      <c r="B53" s="13" t="n">
        <v>62.9</v>
      </c>
      <c r="C53" s="13" t="n">
        <v>93.90000000000001</v>
      </c>
      <c r="D53" s="18" t="inlineStr">
        <is>
          <t>OK</t>
        </is>
      </c>
    </row>
    <row r="54">
      <c r="A54" s="17" t="inlineStr">
        <is>
          <t>Pizza Mista</t>
        </is>
      </c>
      <c r="B54" s="13" t="n">
        <v>61.9</v>
      </c>
      <c r="C54" s="13" t="n">
        <v>89.90000000000001</v>
      </c>
      <c r="D54" s="18" t="inlineStr">
        <is>
          <t>OK</t>
        </is>
      </c>
    </row>
    <row r="55">
      <c r="A55" s="17" t="inlineStr">
        <is>
          <t>Pizza Mussarela</t>
        </is>
      </c>
      <c r="B55" s="13" t="n">
        <v>58.9</v>
      </c>
      <c r="C55" s="13" t="n">
        <v>89.90000000000001</v>
      </c>
      <c r="D55" s="18" t="inlineStr">
        <is>
          <t>OK</t>
        </is>
      </c>
    </row>
    <row r="56">
      <c r="A56" s="17" t="inlineStr">
        <is>
          <t>Pizza Napolitana</t>
        </is>
      </c>
      <c r="B56" s="13" t="n">
        <v>61.9</v>
      </c>
      <c r="C56" s="13" t="n">
        <v>93.90000000000001</v>
      </c>
      <c r="D56" s="18" t="inlineStr">
        <is>
          <t>OK</t>
        </is>
      </c>
    </row>
    <row r="57">
      <c r="A57" s="17" t="inlineStr">
        <is>
          <t>Pizza Palmito</t>
        </is>
      </c>
      <c r="B57" s="13" t="n">
        <v>78.90000000000001</v>
      </c>
      <c r="C57" s="13" t="n">
        <v>128.9</v>
      </c>
      <c r="D57" s="18" t="inlineStr">
        <is>
          <t>OK</t>
        </is>
      </c>
    </row>
    <row r="58">
      <c r="A58" s="17" t="inlineStr">
        <is>
          <t>Pizza Pepperoni</t>
        </is>
      </c>
      <c r="B58" s="13" t="n">
        <v>62.9</v>
      </c>
      <c r="C58" s="13" t="n">
        <v>103.9</v>
      </c>
      <c r="D58" s="18" t="inlineStr">
        <is>
          <t>OK</t>
        </is>
      </c>
    </row>
    <row r="59">
      <c r="A59" s="17" t="inlineStr">
        <is>
          <t>Pizza Peruana</t>
        </is>
      </c>
      <c r="B59" s="13" t="n">
        <v>83.90000000000001</v>
      </c>
      <c r="C59" s="13" t="n">
        <v>123.9</v>
      </c>
      <c r="D59" s="18" t="inlineStr">
        <is>
          <t>OK</t>
        </is>
      </c>
    </row>
    <row r="60">
      <c r="A60" s="17" t="inlineStr">
        <is>
          <t>Pizza Portuguesa</t>
        </is>
      </c>
      <c r="B60" s="13" t="n">
        <v>63.9</v>
      </c>
      <c r="C60" s="13" t="n">
        <v>94.90000000000001</v>
      </c>
      <c r="D60" s="18" t="inlineStr">
        <is>
          <t>OK</t>
        </is>
      </c>
    </row>
    <row r="61">
      <c r="A61" s="17" t="inlineStr">
        <is>
          <t>Pizza Portuguesa 2</t>
        </is>
      </c>
      <c r="B61" s="13" t="n">
        <v>79.90000000000001</v>
      </c>
      <c r="C61" s="13" t="n">
        <v>122.9</v>
      </c>
      <c r="D61" s="18" t="inlineStr">
        <is>
          <t>OK</t>
        </is>
      </c>
    </row>
    <row r="62">
      <c r="A62" s="17" t="inlineStr">
        <is>
          <t>Pizza Primeira Classe</t>
        </is>
      </c>
      <c r="B62" s="13" t="n">
        <v>64.90000000000001</v>
      </c>
      <c r="C62" s="13" t="n">
        <v>94.90000000000001</v>
      </c>
      <c r="D62" s="18" t="inlineStr">
        <is>
          <t>OK</t>
        </is>
      </c>
    </row>
    <row r="63">
      <c r="A63" s="17" t="inlineStr">
        <is>
          <t>Pizza Romana</t>
        </is>
      </c>
      <c r="B63" s="13" t="n">
        <v>84.90000000000001</v>
      </c>
      <c r="C63" s="13" t="n">
        <v>129.9</v>
      </c>
      <c r="D63" s="18" t="inlineStr">
        <is>
          <t>OK</t>
        </is>
      </c>
    </row>
    <row r="64">
      <c r="A64" s="17" t="inlineStr">
        <is>
          <t>Pizza Romeu E Julieta</t>
        </is>
      </c>
      <c r="B64" s="13" t="n">
        <v>59.9</v>
      </c>
      <c r="C64" s="13" t="n">
        <v>89.90000000000001</v>
      </c>
      <c r="D64" s="18" t="inlineStr">
        <is>
          <t>OK</t>
        </is>
      </c>
    </row>
    <row r="65">
      <c r="A65" s="17" t="inlineStr">
        <is>
          <t>Pizza Rúcula</t>
        </is>
      </c>
      <c r="B65" s="13" t="n">
        <v>80.90000000000001</v>
      </c>
      <c r="C65" s="13" t="n">
        <v>122.9</v>
      </c>
      <c r="D65" s="18" t="inlineStr">
        <is>
          <t>OK</t>
        </is>
      </c>
    </row>
    <row r="66">
      <c r="A66" s="17" t="inlineStr">
        <is>
          <t>Pizza Siciliana</t>
        </is>
      </c>
      <c r="B66" s="13" t="n">
        <v>72.90000000000001</v>
      </c>
      <c r="C66" s="13" t="n">
        <v>108.9</v>
      </c>
      <c r="D66" s="18" t="inlineStr">
        <is>
          <t>OK</t>
        </is>
      </c>
    </row>
    <row r="67">
      <c r="A67" s="17" t="inlineStr">
        <is>
          <t>Pizza Strogonoff</t>
        </is>
      </c>
      <c r="B67" s="13" t="n">
        <v>96.90000000000001</v>
      </c>
      <c r="C67" s="13" t="n">
        <v>148.9</v>
      </c>
      <c r="D67" s="18" t="inlineStr">
        <is>
          <t>OK</t>
        </is>
      </c>
    </row>
    <row r="68">
      <c r="A68" s="17" t="inlineStr">
        <is>
          <t>Pizza Tomate Seco</t>
        </is>
      </c>
      <c r="B68" s="13" t="n">
        <v>63.9</v>
      </c>
      <c r="C68" s="13" t="n">
        <v>98.90000000000001</v>
      </c>
      <c r="D68" s="18" t="inlineStr">
        <is>
          <t>OK</t>
        </is>
      </c>
    </row>
    <row r="69">
      <c r="A69" s="17" t="inlineStr">
        <is>
          <t>Pizza Toscana</t>
        </is>
      </c>
      <c r="B69" s="13" t="n">
        <v>65.90000000000001</v>
      </c>
      <c r="C69" s="13" t="n">
        <v>102.9</v>
      </c>
      <c r="D69" s="18" t="inlineStr">
        <is>
          <t>OK</t>
        </is>
      </c>
    </row>
    <row r="70">
      <c r="A70" s="17" t="inlineStr">
        <is>
          <t>Pizza Vegetariana</t>
        </is>
      </c>
      <c r="B70" s="13" t="n">
        <v>75.90000000000001</v>
      </c>
      <c r="C70" s="13" t="n">
        <v>115.9</v>
      </c>
      <c r="D70" s="18" t="inlineStr">
        <is>
          <t>OK</t>
        </is>
      </c>
    </row>
    <row r="71">
      <c r="A71" s="17" t="inlineStr">
        <is>
          <t>Pizza À Moda Da Casa</t>
        </is>
      </c>
      <c r="B71" s="13" t="n">
        <v>84.90000000000001</v>
      </c>
      <c r="C71" s="13" t="n">
        <v>128.9</v>
      </c>
      <c r="D71" s="18" t="inlineStr">
        <is>
          <t>OK</t>
        </is>
      </c>
    </row>
    <row r="72">
      <c r="A72" s="19" t="inlineStr">
        <is>
          <t>Atum especial com mussarela</t>
        </is>
      </c>
      <c r="B72" s="20" t="n">
        <v>88.90000000000001</v>
      </c>
      <c r="C72" s="20" t="n">
        <v>146.9</v>
      </c>
      <c r="D72" s="21" t="inlineStr">
        <is>
          <t>Sem correspondência</t>
        </is>
      </c>
    </row>
    <row r="73">
      <c r="A73" s="19" t="inlineStr">
        <is>
          <t>Atum ralado com mussarela</t>
        </is>
      </c>
      <c r="B73" s="20" t="n">
        <v>72.90000000000001</v>
      </c>
      <c r="C73" s="20" t="n">
        <v>120.9</v>
      </c>
      <c r="D73" s="21" t="inlineStr">
        <is>
          <t>Sem correspondência</t>
        </is>
      </c>
    </row>
    <row r="74">
      <c r="A74" s="19" t="inlineStr">
        <is>
          <t>Pizza Atum (variante)</t>
        </is>
      </c>
      <c r="B74" s="20" t="n">
        <v>58.9</v>
      </c>
      <c r="C74" s="20" t="n">
        <v>89.90000000000001</v>
      </c>
      <c r="D74" s="21" t="inlineStr">
        <is>
          <t>Sem correspondência</t>
        </is>
      </c>
    </row>
    <row r="75">
      <c r="A75" s="19" t="inlineStr">
        <is>
          <t>Pizza Classic</t>
        </is>
      </c>
      <c r="B75" s="20" t="n">
        <v>68.90000000000001</v>
      </c>
      <c r="C75" s="20" t="n">
        <v>99.90000000000001</v>
      </c>
      <c r="D75" s="21" t="inlineStr">
        <is>
          <t>Sem correspondência</t>
        </is>
      </c>
    </row>
    <row r="76">
      <c r="A76" s="19" t="inlineStr">
        <is>
          <t>Torta Holandesa (unidade)</t>
        </is>
      </c>
      <c r="B76" s="20" t="n">
        <v>14.9</v>
      </c>
      <c r="C76" s="22" t="inlineStr">
        <is>
          <t>—</t>
        </is>
      </c>
      <c r="D76" s="21" t="inlineStr">
        <is>
          <t>Sem correspondência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Margem real por canal — quanto entra no caixa depois da comissão</t>
        </is>
      </c>
    </row>
    <row r="2" ht="32" customHeight="1">
      <c r="A2" s="2" t="inlineStr">
        <is>
          <t>Calcula o valor LÍQUIDO que entra no caixa em cada canal, descontando a comissão da plataforma. Ajuste os % de comissão nas células amarelas — a planilha recalcula tudo.</t>
        </is>
      </c>
    </row>
    <row r="4">
      <c r="A4" s="11" t="inlineStr">
        <is>
          <t>Comissão iFood:</t>
        </is>
      </c>
      <c r="B4" s="23" t="n">
        <v>0.147</v>
      </c>
      <c r="D4" s="11" t="inlineStr">
        <is>
          <t>Comissão Keeta:</t>
        </is>
      </c>
      <c r="E4" s="23" t="n">
        <v>0.18</v>
      </c>
      <c r="G4" s="24" t="inlineStr">
        <is>
          <t>iFood: 12% comissão + 3,1% taxa pagto online = 14,7% (extrato real). Keeta: placeholder.</t>
        </is>
      </c>
    </row>
    <row r="6">
      <c r="A6" s="8" t="inlineStr">
        <is>
          <t>Nº</t>
        </is>
      </c>
      <c r="B6" s="8" t="inlineStr">
        <is>
          <t>Pizza</t>
        </is>
      </c>
      <c r="C6" s="8" t="inlineStr">
        <is>
          <t>iFood bruto G</t>
        </is>
      </c>
      <c r="D6" s="8" t="inlineStr">
        <is>
          <t>iFood líquido G</t>
        </is>
      </c>
      <c r="E6" s="8" t="inlineStr">
        <is>
          <t>Keeta bruto G</t>
        </is>
      </c>
      <c r="F6" s="8" t="inlineStr">
        <is>
          <t>Keeta líquido G</t>
        </is>
      </c>
      <c r="G6" s="8" t="inlineStr">
        <is>
          <t>WhatsApp G</t>
        </is>
      </c>
      <c r="H6" s="8" t="inlineStr">
        <is>
          <t>Melhor canal (líquido)</t>
        </is>
      </c>
    </row>
    <row r="7">
      <c r="A7" s="10" t="n">
        <v>1</v>
      </c>
      <c r="B7" s="11" t="inlineStr">
        <is>
          <t>2 QUEIJOS</t>
        </is>
      </c>
      <c r="C7" s="13">
        <f>'Comparativo Geral'!G7</f>
        <v/>
      </c>
      <c r="D7" s="25">
        <f>IFERROR(C7*(1-$B$4),"")</f>
        <v/>
      </c>
      <c r="E7" s="13">
        <f>'Comparativo Geral'!I7</f>
        <v/>
      </c>
      <c r="F7" s="25">
        <f>IFERROR(E7*(1-$E$4),"")</f>
        <v/>
      </c>
      <c r="G7" s="13">
        <f>'Comparativo Geral'!E7</f>
        <v/>
      </c>
      <c r="H7" s="26">
        <f>IFERROR(IF(MAX(D7,F7,G7)=G7,"WhatsApp",IF(MAX(D7,F7,G7)=D7,"iFood","Keeta")),"")</f>
        <v/>
      </c>
    </row>
    <row r="8">
      <c r="A8" s="10" t="n">
        <v>2</v>
      </c>
      <c r="B8" s="11" t="inlineStr">
        <is>
          <t>4 QUEIJOS</t>
        </is>
      </c>
      <c r="C8" s="13">
        <f>'Comparativo Geral'!G8</f>
        <v/>
      </c>
      <c r="D8" s="25">
        <f>IFERROR(C8*(1-$B$4),"")</f>
        <v/>
      </c>
      <c r="E8" s="13">
        <f>'Comparativo Geral'!I8</f>
        <v/>
      </c>
      <c r="F8" s="25">
        <f>IFERROR(E8*(1-$E$4),"")</f>
        <v/>
      </c>
      <c r="G8" s="13">
        <f>'Comparativo Geral'!E8</f>
        <v/>
      </c>
      <c r="H8" s="26">
        <f>IFERROR(IF(MAX(D8,F8,G8)=G8,"WhatsApp",IF(MAX(D8,F8,G8)=D8,"iFood","Keeta")),"")</f>
        <v/>
      </c>
    </row>
    <row r="9">
      <c r="A9" s="10" t="n">
        <v>3</v>
      </c>
      <c r="B9" s="11" t="inlineStr">
        <is>
          <t>5 QUEIJOS</t>
        </is>
      </c>
      <c r="C9" s="13">
        <f>'Comparativo Geral'!G9</f>
        <v/>
      </c>
      <c r="D9" s="25">
        <f>IFERROR(C9*(1-$B$4),"")</f>
        <v/>
      </c>
      <c r="E9" s="13">
        <f>'Comparativo Geral'!I9</f>
        <v/>
      </c>
      <c r="F9" s="25">
        <f>IFERROR(E9*(1-$E$4),"")</f>
        <v/>
      </c>
      <c r="G9" s="13">
        <f>'Comparativo Geral'!E9</f>
        <v/>
      </c>
      <c r="H9" s="26">
        <f>IFERROR(IF(MAX(D9,F9,G9)=G9,"WhatsApp",IF(MAX(D9,F9,G9)=D9,"iFood","Keeta")),"")</f>
        <v/>
      </c>
    </row>
    <row r="10">
      <c r="A10" s="10" t="n">
        <v>4</v>
      </c>
      <c r="B10" s="11" t="inlineStr">
        <is>
          <t>A MODA DA CASA</t>
        </is>
      </c>
      <c r="C10" s="13">
        <f>'Comparativo Geral'!G10</f>
        <v/>
      </c>
      <c r="D10" s="25">
        <f>IFERROR(C10*(1-$B$4),"")</f>
        <v/>
      </c>
      <c r="E10" s="13">
        <f>'Comparativo Geral'!I10</f>
        <v/>
      </c>
      <c r="F10" s="25">
        <f>IFERROR(E10*(1-$E$4),"")</f>
        <v/>
      </c>
      <c r="G10" s="13">
        <f>'Comparativo Geral'!E10</f>
        <v/>
      </c>
      <c r="H10" s="26">
        <f>IFERROR(IF(MAX(D10,F10,G10)=G10,"WhatsApp",IF(MAX(D10,F10,G10)=D10,"iFood","Keeta")),"")</f>
        <v/>
      </c>
    </row>
    <row r="11">
      <c r="A11" s="10" t="n">
        <v>5</v>
      </c>
      <c r="B11" s="11" t="inlineStr">
        <is>
          <t>ABOBRINHA</t>
        </is>
      </c>
      <c r="C11" s="13">
        <f>'Comparativo Geral'!G11</f>
        <v/>
      </c>
      <c r="D11" s="25">
        <f>IFERROR(C11*(1-$B$4),"")</f>
        <v/>
      </c>
      <c r="E11" s="13">
        <f>'Comparativo Geral'!I11</f>
        <v/>
      </c>
      <c r="F11" s="25">
        <f>IFERROR(E11*(1-$E$4),"")</f>
        <v/>
      </c>
      <c r="G11" s="13">
        <f>'Comparativo Geral'!E11</f>
        <v/>
      </c>
      <c r="H11" s="26">
        <f>IFERROR(IF(MAX(D11,F11,G11)=G11,"WhatsApp",IF(MAX(D11,F11,G11)=D11,"iFood","Keeta")),"")</f>
        <v/>
      </c>
    </row>
    <row r="12">
      <c r="A12" s="10" t="n">
        <v>6</v>
      </c>
      <c r="B12" s="11" t="inlineStr">
        <is>
          <t>ALADINELE</t>
        </is>
      </c>
      <c r="C12" s="13">
        <f>'Comparativo Geral'!G12</f>
        <v/>
      </c>
      <c r="D12" s="25">
        <f>IFERROR(C12*(1-$B$4),"")</f>
        <v/>
      </c>
      <c r="E12" s="13">
        <f>'Comparativo Geral'!I12</f>
        <v/>
      </c>
      <c r="F12" s="25">
        <f>IFERROR(E12*(1-$E$4),"")</f>
        <v/>
      </c>
      <c r="G12" s="13">
        <f>'Comparativo Geral'!E12</f>
        <v/>
      </c>
      <c r="H12" s="26">
        <f>IFERROR(IF(MAX(D12,F12,G12)=G12,"WhatsApp",IF(MAX(D12,F12,G12)=D12,"iFood","Keeta")),"")</f>
        <v/>
      </c>
    </row>
    <row r="13">
      <c r="A13" s="10" t="n">
        <v>7</v>
      </c>
      <c r="B13" s="11" t="inlineStr">
        <is>
          <t>ALCACHOFRA</t>
        </is>
      </c>
      <c r="C13" s="13">
        <f>'Comparativo Geral'!G13</f>
        <v/>
      </c>
      <c r="D13" s="25">
        <f>IFERROR(C13*(1-$B$4),"")</f>
        <v/>
      </c>
      <c r="E13" s="13">
        <f>'Comparativo Geral'!I13</f>
        <v/>
      </c>
      <c r="F13" s="25">
        <f>IFERROR(E13*(1-$E$4),"")</f>
        <v/>
      </c>
      <c r="G13" s="13">
        <f>'Comparativo Geral'!E13</f>
        <v/>
      </c>
      <c r="H13" s="26">
        <f>IFERROR(IF(MAX(D13,F13,G13)=G13,"WhatsApp",IF(MAX(D13,F13,G13)=D13,"iFood","Keeta")),"")</f>
        <v/>
      </c>
    </row>
    <row r="14">
      <c r="A14" s="10" t="n">
        <v>8</v>
      </c>
      <c r="B14" s="11" t="inlineStr">
        <is>
          <t>ALCACHOFRA ESPECIAL</t>
        </is>
      </c>
      <c r="C14" s="13">
        <f>'Comparativo Geral'!G14</f>
        <v/>
      </c>
      <c r="D14" s="25">
        <f>IFERROR(C14*(1-$B$4),"")</f>
        <v/>
      </c>
      <c r="E14" s="13">
        <f>'Comparativo Geral'!I14</f>
        <v/>
      </c>
      <c r="F14" s="25">
        <f>IFERROR(E14*(1-$E$4),"")</f>
        <v/>
      </c>
      <c r="G14" s="13">
        <f>'Comparativo Geral'!E14</f>
        <v/>
      </c>
      <c r="H14" s="26">
        <f>IFERROR(IF(MAX(D14,F14,G14)=G14,"WhatsApp",IF(MAX(D14,F14,G14)=D14,"iFood","Keeta")),"")</f>
        <v/>
      </c>
    </row>
    <row r="15">
      <c r="A15" s="10" t="n">
        <v>9</v>
      </c>
      <c r="B15" s="11" t="inlineStr">
        <is>
          <t>ALHO</t>
        </is>
      </c>
      <c r="C15" s="13">
        <f>'Comparativo Geral'!G15</f>
        <v/>
      </c>
      <c r="D15" s="25">
        <f>IFERROR(C15*(1-$B$4),"")</f>
        <v/>
      </c>
      <c r="E15" s="13">
        <f>'Comparativo Geral'!I15</f>
        <v/>
      </c>
      <c r="F15" s="25">
        <f>IFERROR(E15*(1-$E$4),"")</f>
        <v/>
      </c>
      <c r="G15" s="13">
        <f>'Comparativo Geral'!E15</f>
        <v/>
      </c>
      <c r="H15" s="26">
        <f>IFERROR(IF(MAX(D15,F15,G15)=G15,"WhatsApp",IF(MAX(D15,F15,G15)=D15,"iFood","Keeta")),"")</f>
        <v/>
      </c>
    </row>
    <row r="16">
      <c r="A16" s="10" t="n">
        <v>10</v>
      </c>
      <c r="B16" s="11" t="inlineStr">
        <is>
          <t>ALHO PORÓ</t>
        </is>
      </c>
      <c r="C16" s="13">
        <f>'Comparativo Geral'!G16</f>
        <v/>
      </c>
      <c r="D16" s="25">
        <f>IFERROR(C16*(1-$B$4),"")</f>
        <v/>
      </c>
      <c r="E16" s="13">
        <f>'Comparativo Geral'!I16</f>
        <v/>
      </c>
      <c r="F16" s="25">
        <f>IFERROR(E16*(1-$E$4),"")</f>
        <v/>
      </c>
      <c r="G16" s="13">
        <f>'Comparativo Geral'!E16</f>
        <v/>
      </c>
      <c r="H16" s="26">
        <f>IFERROR(IF(MAX(D16,F16,G16)=G16,"WhatsApp",IF(MAX(D16,F16,G16)=D16,"iFood","Keeta")),"")</f>
        <v/>
      </c>
    </row>
    <row r="17">
      <c r="A17" s="10" t="n">
        <v>11</v>
      </c>
      <c r="B17" s="11" t="inlineStr">
        <is>
          <t>ALICHE IMPORTADO</t>
        </is>
      </c>
      <c r="C17" s="13">
        <f>'Comparativo Geral'!G17</f>
        <v/>
      </c>
      <c r="D17" s="25">
        <f>IFERROR(C17*(1-$B$4),"")</f>
        <v/>
      </c>
      <c r="E17" s="13">
        <f>'Comparativo Geral'!I17</f>
        <v/>
      </c>
      <c r="F17" s="25">
        <f>IFERROR(E17*(1-$E$4),"")</f>
        <v/>
      </c>
      <c r="G17" s="13">
        <f>'Comparativo Geral'!E17</f>
        <v/>
      </c>
      <c r="H17" s="26">
        <f>IFERROR(IF(MAX(D17,F17,G17)=G17,"WhatsApp",IF(MAX(D17,F17,G17)=D17,"iFood","Keeta")),"")</f>
        <v/>
      </c>
    </row>
    <row r="18">
      <c r="A18" s="10" t="n">
        <v>12</v>
      </c>
      <c r="B18" s="11" t="inlineStr">
        <is>
          <t>AMERICANA</t>
        </is>
      </c>
      <c r="C18" s="13">
        <f>'Comparativo Geral'!G18</f>
        <v/>
      </c>
      <c r="D18" s="25">
        <f>IFERROR(C18*(1-$B$4),"")</f>
        <v/>
      </c>
      <c r="E18" s="13">
        <f>'Comparativo Geral'!I18</f>
        <v/>
      </c>
      <c r="F18" s="25">
        <f>IFERROR(E18*(1-$E$4),"")</f>
        <v/>
      </c>
      <c r="G18" s="13">
        <f>'Comparativo Geral'!E18</f>
        <v/>
      </c>
      <c r="H18" s="26">
        <f>IFERROR(IF(MAX(D18,F18,G18)=G18,"WhatsApp",IF(MAX(D18,F18,G18)=D18,"iFood","Keeta")),"")</f>
        <v/>
      </c>
    </row>
    <row r="19">
      <c r="A19" s="10" t="n">
        <v>13</v>
      </c>
      <c r="B19" s="11" t="inlineStr">
        <is>
          <t>ARTES DA PIZZA</t>
        </is>
      </c>
      <c r="C19" s="13">
        <f>'Comparativo Geral'!G19</f>
        <v/>
      </c>
      <c r="D19" s="25">
        <f>IFERROR(C19*(1-$B$4),"")</f>
        <v/>
      </c>
      <c r="E19" s="13">
        <f>'Comparativo Geral'!I19</f>
        <v/>
      </c>
      <c r="F19" s="25">
        <f>IFERROR(E19*(1-$E$4),"")</f>
        <v/>
      </c>
      <c r="G19" s="13">
        <f>'Comparativo Geral'!E19</f>
        <v/>
      </c>
      <c r="H19" s="26">
        <f>IFERROR(IF(MAX(D19,F19,G19)=G19,"WhatsApp",IF(MAX(D19,F19,G19)=D19,"iFood","Keeta")),"")</f>
        <v/>
      </c>
    </row>
    <row r="20">
      <c r="A20" s="10" t="n">
        <v>14</v>
      </c>
      <c r="B20" s="11" t="inlineStr">
        <is>
          <t>ATUM</t>
        </is>
      </c>
      <c r="C20" s="13">
        <f>'Comparativo Geral'!G20</f>
        <v/>
      </c>
      <c r="D20" s="25">
        <f>IFERROR(C20*(1-$B$4),"")</f>
        <v/>
      </c>
      <c r="E20" s="13">
        <f>'Comparativo Geral'!I20</f>
        <v/>
      </c>
      <c r="F20" s="25">
        <f>IFERROR(E20*(1-$E$4),"")</f>
        <v/>
      </c>
      <c r="G20" s="13">
        <f>'Comparativo Geral'!E20</f>
        <v/>
      </c>
      <c r="H20" s="26">
        <f>IFERROR(IF(MAX(D20,F20,G20)=G20,"WhatsApp",IF(MAX(D20,F20,G20)=D20,"iFood","Keeta")),"")</f>
        <v/>
      </c>
    </row>
    <row r="21">
      <c r="A21" s="10" t="n">
        <v>15</v>
      </c>
      <c r="B21" s="11" t="inlineStr">
        <is>
          <t>ATUM ESPECIAL</t>
        </is>
      </c>
      <c r="C21" s="13">
        <f>'Comparativo Geral'!G21</f>
        <v/>
      </c>
      <c r="D21" s="25">
        <f>IFERROR(C21*(1-$B$4),"")</f>
        <v/>
      </c>
      <c r="E21" s="13">
        <f>'Comparativo Geral'!I21</f>
        <v/>
      </c>
      <c r="F21" s="25">
        <f>IFERROR(E21*(1-$E$4),"")</f>
        <v/>
      </c>
      <c r="G21" s="13">
        <f>'Comparativo Geral'!E21</f>
        <v/>
      </c>
      <c r="H21" s="26">
        <f>IFERROR(IF(MAX(D21,F21,G21)=G21,"WhatsApp",IF(MAX(D21,F21,G21)=D21,"iFood","Keeta")),"")</f>
        <v/>
      </c>
    </row>
    <row r="22">
      <c r="A22" s="10" t="n">
        <v>16</v>
      </c>
      <c r="B22" s="11" t="inlineStr">
        <is>
          <t>BACON</t>
        </is>
      </c>
      <c r="C22" s="13">
        <f>'Comparativo Geral'!G22</f>
        <v/>
      </c>
      <c r="D22" s="25">
        <f>IFERROR(C22*(1-$B$4),"")</f>
        <v/>
      </c>
      <c r="E22" s="13">
        <f>'Comparativo Geral'!I22</f>
        <v/>
      </c>
      <c r="F22" s="25">
        <f>IFERROR(E22*(1-$E$4),"")</f>
        <v/>
      </c>
      <c r="G22" s="13">
        <f>'Comparativo Geral'!E22</f>
        <v/>
      </c>
      <c r="H22" s="26">
        <f>IFERROR(IF(MAX(D22,F22,G22)=G22,"WhatsApp",IF(MAX(D22,F22,G22)=D22,"iFood","Keeta")),"")</f>
        <v/>
      </c>
    </row>
    <row r="23">
      <c r="A23" s="10" t="n">
        <v>17</v>
      </c>
      <c r="B23" s="11" t="inlineStr">
        <is>
          <t>BAIANA</t>
        </is>
      </c>
      <c r="C23" s="13">
        <f>'Comparativo Geral'!G23</f>
        <v/>
      </c>
      <c r="D23" s="25">
        <f>IFERROR(C23*(1-$B$4),"")</f>
        <v/>
      </c>
      <c r="E23" s="13">
        <f>'Comparativo Geral'!I23</f>
        <v/>
      </c>
      <c r="F23" s="25">
        <f>IFERROR(E23*(1-$E$4),"")</f>
        <v/>
      </c>
      <c r="G23" s="13">
        <f>'Comparativo Geral'!E23</f>
        <v/>
      </c>
      <c r="H23" s="26">
        <f>IFERROR(IF(MAX(D23,F23,G23)=G23,"WhatsApp",IF(MAX(D23,F23,G23)=D23,"iFood","Keeta")),"")</f>
        <v/>
      </c>
    </row>
    <row r="24">
      <c r="A24" s="10" t="n">
        <v>18</v>
      </c>
      <c r="B24" s="11" t="inlineStr">
        <is>
          <t>BERINJELA</t>
        </is>
      </c>
      <c r="C24" s="13">
        <f>'Comparativo Geral'!G24</f>
        <v/>
      </c>
      <c r="D24" s="25">
        <f>IFERROR(C24*(1-$B$4),"")</f>
        <v/>
      </c>
      <c r="E24" s="13">
        <f>'Comparativo Geral'!I24</f>
        <v/>
      </c>
      <c r="F24" s="25">
        <f>IFERROR(E24*(1-$E$4),"")</f>
        <v/>
      </c>
      <c r="G24" s="13">
        <f>'Comparativo Geral'!E24</f>
        <v/>
      </c>
      <c r="H24" s="26">
        <f>IFERROR(IF(MAX(D24,F24,G24)=G24,"WhatsApp",IF(MAX(D24,F24,G24)=D24,"iFood","Keeta")),"")</f>
        <v/>
      </c>
    </row>
    <row r="25">
      <c r="A25" s="10" t="n">
        <v>19</v>
      </c>
      <c r="B25" s="11" t="inlineStr">
        <is>
          <t>BRÓCOLIS</t>
        </is>
      </c>
      <c r="C25" s="13">
        <f>'Comparativo Geral'!G25</f>
        <v/>
      </c>
      <c r="D25" s="25">
        <f>IFERROR(C25*(1-$B$4),"")</f>
        <v/>
      </c>
      <c r="E25" s="13">
        <f>'Comparativo Geral'!I25</f>
        <v/>
      </c>
      <c r="F25" s="25">
        <f>IFERROR(E25*(1-$E$4),"")</f>
        <v/>
      </c>
      <c r="G25" s="13">
        <f>'Comparativo Geral'!E25</f>
        <v/>
      </c>
      <c r="H25" s="26">
        <f>IFERROR(IF(MAX(D25,F25,G25)=G25,"WhatsApp",IF(MAX(D25,F25,G25)=D25,"iFood","Keeta")),"")</f>
        <v/>
      </c>
    </row>
    <row r="26">
      <c r="A26" s="10" t="n">
        <v>20</v>
      </c>
      <c r="B26" s="11" t="inlineStr">
        <is>
          <t>BRÓCOLIS II</t>
        </is>
      </c>
      <c r="C26" s="13">
        <f>'Comparativo Geral'!G26</f>
        <v/>
      </c>
      <c r="D26" s="25">
        <f>IFERROR(C26*(1-$B$4),"")</f>
        <v/>
      </c>
      <c r="E26" s="13">
        <f>'Comparativo Geral'!I26</f>
        <v/>
      </c>
      <c r="F26" s="25">
        <f>IFERROR(E26*(1-$E$4),"")</f>
        <v/>
      </c>
      <c r="G26" s="13">
        <f>'Comparativo Geral'!E26</f>
        <v/>
      </c>
      <c r="H26" s="26">
        <f>IFERROR(IF(MAX(D26,F26,G26)=G26,"WhatsApp",IF(MAX(D26,F26,G26)=D26,"iFood","Keeta")),"")</f>
        <v/>
      </c>
    </row>
    <row r="27">
      <c r="A27" s="10" t="n">
        <v>21</v>
      </c>
      <c r="B27" s="11" t="inlineStr">
        <is>
          <t>BRÓCOLIS III</t>
        </is>
      </c>
      <c r="C27" s="13">
        <f>'Comparativo Geral'!G27</f>
        <v/>
      </c>
      <c r="D27" s="25">
        <f>IFERROR(C27*(1-$B$4),"")</f>
        <v/>
      </c>
      <c r="E27" s="13">
        <f>'Comparativo Geral'!I27</f>
        <v/>
      </c>
      <c r="F27" s="25">
        <f>IFERROR(E27*(1-$E$4),"")</f>
        <v/>
      </c>
      <c r="G27" s="13">
        <f>'Comparativo Geral'!E27</f>
        <v/>
      </c>
      <c r="H27" s="26">
        <f>IFERROR(IF(MAX(D27,F27,G27)=G27,"WhatsApp",IF(MAX(D27,F27,G27)=D27,"iFood","Keeta")),"")</f>
        <v/>
      </c>
    </row>
    <row r="28">
      <c r="A28" s="10" t="n">
        <v>22</v>
      </c>
      <c r="B28" s="11" t="inlineStr">
        <is>
          <t>BÚFALA</t>
        </is>
      </c>
      <c r="C28" s="13">
        <f>'Comparativo Geral'!G28</f>
        <v/>
      </c>
      <c r="D28" s="25">
        <f>IFERROR(C28*(1-$B$4),"")</f>
        <v/>
      </c>
      <c r="E28" s="13">
        <f>'Comparativo Geral'!I28</f>
        <v/>
      </c>
      <c r="F28" s="25">
        <f>IFERROR(E28*(1-$E$4),"")</f>
        <v/>
      </c>
      <c r="G28" s="13">
        <f>'Comparativo Geral'!E28</f>
        <v/>
      </c>
      <c r="H28" s="26">
        <f>IFERROR(IF(MAX(D28,F28,G28)=G28,"WhatsApp",IF(MAX(D28,F28,G28)=D28,"iFood","Keeta")),"")</f>
        <v/>
      </c>
    </row>
    <row r="29">
      <c r="A29" s="10" t="n">
        <v>23</v>
      </c>
      <c r="B29" s="11" t="inlineStr">
        <is>
          <t>CAIPIRA</t>
        </is>
      </c>
      <c r="C29" s="13">
        <f>'Comparativo Geral'!G29</f>
        <v/>
      </c>
      <c r="D29" s="25">
        <f>IFERROR(C29*(1-$B$4),"")</f>
        <v/>
      </c>
      <c r="E29" s="13">
        <f>'Comparativo Geral'!I29</f>
        <v/>
      </c>
      <c r="F29" s="25">
        <f>IFERROR(E29*(1-$E$4),"")</f>
        <v/>
      </c>
      <c r="G29" s="13">
        <f>'Comparativo Geral'!E29</f>
        <v/>
      </c>
      <c r="H29" s="26">
        <f>IFERROR(IF(MAX(D29,F29,G29)=G29,"WhatsApp",IF(MAX(D29,F29,G29)=D29,"iFood","Keeta")),"")</f>
        <v/>
      </c>
    </row>
    <row r="30">
      <c r="A30" s="10" t="n">
        <v>24</v>
      </c>
      <c r="B30" s="11" t="inlineStr">
        <is>
          <t>CALABRESA</t>
        </is>
      </c>
      <c r="C30" s="13">
        <f>'Comparativo Geral'!G30</f>
        <v/>
      </c>
      <c r="D30" s="25">
        <f>IFERROR(C30*(1-$B$4),"")</f>
        <v/>
      </c>
      <c r="E30" s="13">
        <f>'Comparativo Geral'!I30</f>
        <v/>
      </c>
      <c r="F30" s="25">
        <f>IFERROR(E30*(1-$E$4),"")</f>
        <v/>
      </c>
      <c r="G30" s="13">
        <f>'Comparativo Geral'!E30</f>
        <v/>
      </c>
      <c r="H30" s="26">
        <f>IFERROR(IF(MAX(D30,F30,G30)=G30,"WhatsApp",IF(MAX(D30,F30,G30)=D30,"iFood","Keeta")),"")</f>
        <v/>
      </c>
    </row>
    <row r="31">
      <c r="A31" s="10" t="n">
        <v>25</v>
      </c>
      <c r="B31" s="11" t="inlineStr">
        <is>
          <t>CALACATÚ</t>
        </is>
      </c>
      <c r="C31" s="13">
        <f>'Comparativo Geral'!G31</f>
        <v/>
      </c>
      <c r="D31" s="25">
        <f>IFERROR(C31*(1-$B$4),"")</f>
        <v/>
      </c>
      <c r="E31" s="13">
        <f>'Comparativo Geral'!I31</f>
        <v/>
      </c>
      <c r="F31" s="25">
        <f>IFERROR(E31*(1-$E$4),"")</f>
        <v/>
      </c>
      <c r="G31" s="13">
        <f>'Comparativo Geral'!E31</f>
        <v/>
      </c>
      <c r="H31" s="26">
        <f>IFERROR(IF(MAX(D31,F31,G31)=G31,"WhatsApp",IF(MAX(D31,F31,G31)=D31,"iFood","Keeta")),"")</f>
        <v/>
      </c>
    </row>
    <row r="32">
      <c r="A32" s="10" t="n">
        <v>26</v>
      </c>
      <c r="B32" s="11" t="inlineStr">
        <is>
          <t>CAMARÃO</t>
        </is>
      </c>
      <c r="C32" s="13">
        <f>'Comparativo Geral'!G32</f>
        <v/>
      </c>
      <c r="D32" s="25">
        <f>IFERROR(C32*(1-$B$4),"")</f>
        <v/>
      </c>
      <c r="E32" s="13">
        <f>'Comparativo Geral'!I32</f>
        <v/>
      </c>
      <c r="F32" s="25">
        <f>IFERROR(E32*(1-$E$4),"")</f>
        <v/>
      </c>
      <c r="G32" s="13">
        <f>'Comparativo Geral'!E32</f>
        <v/>
      </c>
      <c r="H32" s="26">
        <f>IFERROR(IF(MAX(D32,F32,G32)=G32,"WhatsApp",IF(MAX(D32,F32,G32)=D32,"iFood","Keeta")),"")</f>
        <v/>
      </c>
    </row>
    <row r="33">
      <c r="A33" s="10" t="n">
        <v>27</v>
      </c>
      <c r="B33" s="11" t="inlineStr">
        <is>
          <t>CAPRICHOSA</t>
        </is>
      </c>
      <c r="C33" s="13">
        <f>'Comparativo Geral'!G33</f>
        <v/>
      </c>
      <c r="D33" s="25">
        <f>IFERROR(C33*(1-$B$4),"")</f>
        <v/>
      </c>
      <c r="E33" s="13">
        <f>'Comparativo Geral'!I33</f>
        <v/>
      </c>
      <c r="F33" s="25">
        <f>IFERROR(E33*(1-$E$4),"")</f>
        <v/>
      </c>
      <c r="G33" s="13">
        <f>'Comparativo Geral'!E33</f>
        <v/>
      </c>
      <c r="H33" s="26">
        <f>IFERROR(IF(MAX(D33,F33,G33)=G33,"WhatsApp",IF(MAX(D33,F33,G33)=D33,"iFood","Keeta")),"")</f>
        <v/>
      </c>
    </row>
    <row r="34">
      <c r="A34" s="10" t="n">
        <v>28</v>
      </c>
      <c r="B34" s="11" t="inlineStr">
        <is>
          <t>CARNE SECA</t>
        </is>
      </c>
      <c r="C34" s="13">
        <f>'Comparativo Geral'!G34</f>
        <v/>
      </c>
      <c r="D34" s="25">
        <f>IFERROR(C34*(1-$B$4),"")</f>
        <v/>
      </c>
      <c r="E34" s="13">
        <f>'Comparativo Geral'!I34</f>
        <v/>
      </c>
      <c r="F34" s="25">
        <f>IFERROR(E34*(1-$E$4),"")</f>
        <v/>
      </c>
      <c r="G34" s="13">
        <f>'Comparativo Geral'!E34</f>
        <v/>
      </c>
      <c r="H34" s="26">
        <f>IFERROR(IF(MAX(D34,F34,G34)=G34,"WhatsApp",IF(MAX(D34,F34,G34)=D34,"iFood","Keeta")),"")</f>
        <v/>
      </c>
    </row>
    <row r="35">
      <c r="A35" s="10" t="n">
        <v>29</v>
      </c>
      <c r="B35" s="11" t="inlineStr">
        <is>
          <t>CATUPIRY</t>
        </is>
      </c>
      <c r="C35" s="13">
        <f>'Comparativo Geral'!G35</f>
        <v/>
      </c>
      <c r="D35" s="25">
        <f>IFERROR(C35*(1-$B$4),"")</f>
        <v/>
      </c>
      <c r="E35" s="13">
        <f>'Comparativo Geral'!I35</f>
        <v/>
      </c>
      <c r="F35" s="25">
        <f>IFERROR(E35*(1-$E$4),"")</f>
        <v/>
      </c>
      <c r="G35" s="13">
        <f>'Comparativo Geral'!E35</f>
        <v/>
      </c>
      <c r="H35" s="26">
        <f>IFERROR(IF(MAX(D35,F35,G35)=G35,"WhatsApp",IF(MAX(D35,F35,G35)=D35,"iFood","Keeta")),"")</f>
        <v/>
      </c>
    </row>
    <row r="36">
      <c r="A36" s="10" t="n">
        <v>30</v>
      </c>
      <c r="B36" s="11" t="inlineStr">
        <is>
          <t>CLASSE ESPECIAL</t>
        </is>
      </c>
      <c r="C36" s="13">
        <f>'Comparativo Geral'!G36</f>
        <v/>
      </c>
      <c r="D36" s="25">
        <f>IFERROR(C36*(1-$B$4),"")</f>
        <v/>
      </c>
      <c r="E36" s="13">
        <f>'Comparativo Geral'!I36</f>
        <v/>
      </c>
      <c r="F36" s="25">
        <f>IFERROR(E36*(1-$E$4),"")</f>
        <v/>
      </c>
      <c r="G36" s="13">
        <f>'Comparativo Geral'!E36</f>
        <v/>
      </c>
      <c r="H36" s="26">
        <f>IFERROR(IF(MAX(D36,F36,G36)=G36,"WhatsApp",IF(MAX(D36,F36,G36)=D36,"iFood","Keeta")),"")</f>
        <v/>
      </c>
    </row>
    <row r="37">
      <c r="A37" s="10" t="n">
        <v>31</v>
      </c>
      <c r="B37" s="11" t="inlineStr">
        <is>
          <t>DO PIZZAIOLO</t>
        </is>
      </c>
      <c r="C37" s="13">
        <f>'Comparativo Geral'!G37</f>
        <v/>
      </c>
      <c r="D37" s="25">
        <f>IFERROR(C37*(1-$B$4),"")</f>
        <v/>
      </c>
      <c r="E37" s="13">
        <f>'Comparativo Geral'!I37</f>
        <v/>
      </c>
      <c r="F37" s="25">
        <f>IFERROR(E37*(1-$E$4),"")</f>
        <v/>
      </c>
      <c r="G37" s="13">
        <f>'Comparativo Geral'!E37</f>
        <v/>
      </c>
      <c r="H37" s="26">
        <f>IFERROR(IF(MAX(D37,F37,G37)=G37,"WhatsApp",IF(MAX(D37,F37,G37)=D37,"iFood","Keeta")),"")</f>
        <v/>
      </c>
    </row>
    <row r="38">
      <c r="A38" s="10" t="n">
        <v>32</v>
      </c>
      <c r="B38" s="11" t="inlineStr">
        <is>
          <t>ESCAROLA</t>
        </is>
      </c>
      <c r="C38" s="13">
        <f>'Comparativo Geral'!G38</f>
        <v/>
      </c>
      <c r="D38" s="25">
        <f>IFERROR(C38*(1-$B$4),"")</f>
        <v/>
      </c>
      <c r="E38" s="13">
        <f>'Comparativo Geral'!I38</f>
        <v/>
      </c>
      <c r="F38" s="25">
        <f>IFERROR(E38*(1-$E$4),"")</f>
        <v/>
      </c>
      <c r="G38" s="13">
        <f>'Comparativo Geral'!E38</f>
        <v/>
      </c>
      <c r="H38" s="26">
        <f>IFERROR(IF(MAX(D38,F38,G38)=G38,"WhatsApp",IF(MAX(D38,F38,G38)=D38,"iFood","Keeta")),"")</f>
        <v/>
      </c>
    </row>
    <row r="39">
      <c r="A39" s="10" t="n">
        <v>33</v>
      </c>
      <c r="B39" s="11" t="inlineStr">
        <is>
          <t>ESCAROLA ESPECIAL</t>
        </is>
      </c>
      <c r="C39" s="13">
        <f>'Comparativo Geral'!G39</f>
        <v/>
      </c>
      <c r="D39" s="25">
        <f>IFERROR(C39*(1-$B$4),"")</f>
        <v/>
      </c>
      <c r="E39" s="13">
        <f>'Comparativo Geral'!I39</f>
        <v/>
      </c>
      <c r="F39" s="25">
        <f>IFERROR(E39*(1-$E$4),"")</f>
        <v/>
      </c>
      <c r="G39" s="13">
        <f>'Comparativo Geral'!E39</f>
        <v/>
      </c>
      <c r="H39" s="26">
        <f>IFERROR(IF(MAX(D39,F39,G39)=G39,"WhatsApp",IF(MAX(D39,F39,G39)=D39,"iFood","Keeta")),"")</f>
        <v/>
      </c>
    </row>
    <row r="40">
      <c r="A40" s="10" t="n">
        <v>34</v>
      </c>
      <c r="B40" s="11" t="inlineStr">
        <is>
          <t>ESPANHOLA</t>
        </is>
      </c>
      <c r="C40" s="13">
        <f>'Comparativo Geral'!G40</f>
        <v/>
      </c>
      <c r="D40" s="25">
        <f>IFERROR(C40*(1-$B$4),"")</f>
        <v/>
      </c>
      <c r="E40" s="13">
        <f>'Comparativo Geral'!I40</f>
        <v/>
      </c>
      <c r="F40" s="25">
        <f>IFERROR(E40*(1-$E$4),"")</f>
        <v/>
      </c>
      <c r="G40" s="13">
        <f>'Comparativo Geral'!E40</f>
        <v/>
      </c>
      <c r="H40" s="26">
        <f>IFERROR(IF(MAX(D40,F40,G40)=G40,"WhatsApp",IF(MAX(D40,F40,G40)=D40,"iFood","Keeta")),"")</f>
        <v/>
      </c>
    </row>
    <row r="41">
      <c r="A41" s="10" t="n">
        <v>35</v>
      </c>
      <c r="B41" s="11" t="inlineStr">
        <is>
          <t>ESPECIAL</t>
        </is>
      </c>
      <c r="C41" s="13">
        <f>'Comparativo Geral'!G41</f>
        <v/>
      </c>
      <c r="D41" s="25">
        <f>IFERROR(C41*(1-$B$4),"")</f>
        <v/>
      </c>
      <c r="E41" s="13">
        <f>'Comparativo Geral'!I41</f>
        <v/>
      </c>
      <c r="F41" s="25">
        <f>IFERROR(E41*(1-$E$4),"")</f>
        <v/>
      </c>
      <c r="G41" s="13">
        <f>'Comparativo Geral'!E41</f>
        <v/>
      </c>
      <c r="H41" s="26">
        <f>IFERROR(IF(MAX(D41,F41,G41)=G41,"WhatsApp",IF(MAX(D41,F41,G41)=D41,"iFood","Keeta")),"")</f>
        <v/>
      </c>
    </row>
    <row r="42">
      <c r="A42" s="10" t="n">
        <v>36</v>
      </c>
      <c r="B42" s="11" t="inlineStr">
        <is>
          <t>EXECUTIVA</t>
        </is>
      </c>
      <c r="C42" s="13">
        <f>'Comparativo Geral'!G42</f>
        <v/>
      </c>
      <c r="D42" s="25">
        <f>IFERROR(C42*(1-$B$4),"")</f>
        <v/>
      </c>
      <c r="E42" s="13">
        <f>'Comparativo Geral'!I42</f>
        <v/>
      </c>
      <c r="F42" s="25">
        <f>IFERROR(E42*(1-$E$4),"")</f>
        <v/>
      </c>
      <c r="G42" s="13">
        <f>'Comparativo Geral'!E42</f>
        <v/>
      </c>
      <c r="H42" s="26">
        <f>IFERROR(IF(MAX(D42,F42,G42)=G42,"WhatsApp",IF(MAX(D42,F42,G42)=D42,"iFood","Keeta")),"")</f>
        <v/>
      </c>
    </row>
    <row r="43">
      <c r="A43" s="10" t="n">
        <v>37</v>
      </c>
      <c r="B43" s="11" t="inlineStr">
        <is>
          <t>FAVORITA</t>
        </is>
      </c>
      <c r="C43" s="13">
        <f>'Comparativo Geral'!G43</f>
        <v/>
      </c>
      <c r="D43" s="25">
        <f>IFERROR(C43*(1-$B$4),"")</f>
        <v/>
      </c>
      <c r="E43" s="13">
        <f>'Comparativo Geral'!I43</f>
        <v/>
      </c>
      <c r="F43" s="25">
        <f>IFERROR(E43*(1-$E$4),"")</f>
        <v/>
      </c>
      <c r="G43" s="13">
        <f>'Comparativo Geral'!E43</f>
        <v/>
      </c>
      <c r="H43" s="26">
        <f>IFERROR(IF(MAX(D43,F43,G43)=G43,"WhatsApp",IF(MAX(D43,F43,G43)=D43,"iFood","Keeta")),"")</f>
        <v/>
      </c>
    </row>
    <row r="44">
      <c r="A44" s="10" t="n">
        <v>38</v>
      </c>
      <c r="B44" s="11" t="inlineStr">
        <is>
          <t>FILÉ MIGNON</t>
        </is>
      </c>
      <c r="C44" s="13">
        <f>'Comparativo Geral'!G44</f>
        <v/>
      </c>
      <c r="D44" s="25">
        <f>IFERROR(C44*(1-$B$4),"")</f>
        <v/>
      </c>
      <c r="E44" s="13">
        <f>'Comparativo Geral'!I44</f>
        <v/>
      </c>
      <c r="F44" s="25">
        <f>IFERROR(E44*(1-$E$4),"")</f>
        <v/>
      </c>
      <c r="G44" s="13">
        <f>'Comparativo Geral'!E44</f>
        <v/>
      </c>
      <c r="H44" s="26">
        <f>IFERROR(IF(MAX(D44,F44,G44)=G44,"WhatsApp",IF(MAX(D44,F44,G44)=D44,"iFood","Keeta")),"")</f>
        <v/>
      </c>
    </row>
    <row r="45">
      <c r="A45" s="10" t="n">
        <v>39</v>
      </c>
      <c r="B45" s="11" t="inlineStr">
        <is>
          <t>FRANGO CATUPIRY</t>
        </is>
      </c>
      <c r="C45" s="13">
        <f>'Comparativo Geral'!G45</f>
        <v/>
      </c>
      <c r="D45" s="25">
        <f>IFERROR(C45*(1-$B$4),"")</f>
        <v/>
      </c>
      <c r="E45" s="13">
        <f>'Comparativo Geral'!I45</f>
        <v/>
      </c>
      <c r="F45" s="25">
        <f>IFERROR(E45*(1-$E$4),"")</f>
        <v/>
      </c>
      <c r="G45" s="13">
        <f>'Comparativo Geral'!E45</f>
        <v/>
      </c>
      <c r="H45" s="26">
        <f>IFERROR(IF(MAX(D45,F45,G45)=G45,"WhatsApp",IF(MAX(D45,F45,G45)=D45,"iFood","Keeta")),"")</f>
        <v/>
      </c>
    </row>
    <row r="46">
      <c r="A46" s="10" t="n">
        <v>40</v>
      </c>
      <c r="B46" s="11" t="inlineStr">
        <is>
          <t>FRANGO ESPECIAL</t>
        </is>
      </c>
      <c r="C46" s="13">
        <f>'Comparativo Geral'!G46</f>
        <v/>
      </c>
      <c r="D46" s="25">
        <f>IFERROR(C46*(1-$B$4),"")</f>
        <v/>
      </c>
      <c r="E46" s="13">
        <f>'Comparativo Geral'!I46</f>
        <v/>
      </c>
      <c r="F46" s="25">
        <f>IFERROR(E46*(1-$E$4),"")</f>
        <v/>
      </c>
      <c r="G46" s="13">
        <f>'Comparativo Geral'!E46</f>
        <v/>
      </c>
      <c r="H46" s="26">
        <f>IFERROR(IF(MAX(D46,F46,G46)=G46,"WhatsApp",IF(MAX(D46,F46,G46)=D46,"iFood","Keeta")),"")</f>
        <v/>
      </c>
    </row>
    <row r="47">
      <c r="A47" s="10" t="n">
        <v>41</v>
      </c>
      <c r="B47" s="11" t="inlineStr">
        <is>
          <t>JARDINEIRA</t>
        </is>
      </c>
      <c r="C47" s="13">
        <f>'Comparativo Geral'!G47</f>
        <v/>
      </c>
      <c r="D47" s="25">
        <f>IFERROR(C47*(1-$B$4),"")</f>
        <v/>
      </c>
      <c r="E47" s="13">
        <f>'Comparativo Geral'!I47</f>
        <v/>
      </c>
      <c r="F47" s="25">
        <f>IFERROR(E47*(1-$E$4),"")</f>
        <v/>
      </c>
      <c r="G47" s="13">
        <f>'Comparativo Geral'!E47</f>
        <v/>
      </c>
      <c r="H47" s="26">
        <f>IFERROR(IF(MAX(D47,F47,G47)=G47,"WhatsApp",IF(MAX(D47,F47,G47)=D47,"iFood","Keeta")),"")</f>
        <v/>
      </c>
    </row>
    <row r="48">
      <c r="A48" s="10" t="n">
        <v>42</v>
      </c>
      <c r="B48" s="11" t="inlineStr">
        <is>
          <t>LIGHT</t>
        </is>
      </c>
      <c r="C48" s="13">
        <f>'Comparativo Geral'!G48</f>
        <v/>
      </c>
      <c r="D48" s="25">
        <f>IFERROR(C48*(1-$B$4),"")</f>
        <v/>
      </c>
      <c r="E48" s="13">
        <f>'Comparativo Geral'!I48</f>
        <v/>
      </c>
      <c r="F48" s="25">
        <f>IFERROR(E48*(1-$E$4),"")</f>
        <v/>
      </c>
      <c r="G48" s="13">
        <f>'Comparativo Geral'!E48</f>
        <v/>
      </c>
      <c r="H48" s="26">
        <f>IFERROR(IF(MAX(D48,F48,G48)=G48,"WhatsApp",IF(MAX(D48,F48,G48)=D48,"iFood","Keeta")),"")</f>
        <v/>
      </c>
    </row>
    <row r="49">
      <c r="A49" s="10" t="n">
        <v>43</v>
      </c>
      <c r="B49" s="11" t="inlineStr">
        <is>
          <t>LOMBO</t>
        </is>
      </c>
      <c r="C49" s="13">
        <f>'Comparativo Geral'!G49</f>
        <v/>
      </c>
      <c r="D49" s="25">
        <f>IFERROR(C49*(1-$B$4),"")</f>
        <v/>
      </c>
      <c r="E49" s="13">
        <f>'Comparativo Geral'!I49</f>
        <v/>
      </c>
      <c r="F49" s="25">
        <f>IFERROR(E49*(1-$E$4),"")</f>
        <v/>
      </c>
      <c r="G49" s="13">
        <f>'Comparativo Geral'!E49</f>
        <v/>
      </c>
      <c r="H49" s="26">
        <f>IFERROR(IF(MAX(D49,F49,G49)=G49,"WhatsApp",IF(MAX(D49,F49,G49)=D49,"iFood","Keeta")),"")</f>
        <v/>
      </c>
    </row>
    <row r="50">
      <c r="A50" s="10" t="n">
        <v>44</v>
      </c>
      <c r="B50" s="11" t="inlineStr">
        <is>
          <t>LOMBO II</t>
        </is>
      </c>
      <c r="C50" s="13">
        <f>'Comparativo Geral'!G50</f>
        <v/>
      </c>
      <c r="D50" s="25">
        <f>IFERROR(C50*(1-$B$4),"")</f>
        <v/>
      </c>
      <c r="E50" s="13">
        <f>'Comparativo Geral'!I50</f>
        <v/>
      </c>
      <c r="F50" s="25">
        <f>IFERROR(E50*(1-$E$4),"")</f>
        <v/>
      </c>
      <c r="G50" s="13">
        <f>'Comparativo Geral'!E50</f>
        <v/>
      </c>
      <c r="H50" s="26">
        <f>IFERROR(IF(MAX(D50,F50,G50)=G50,"WhatsApp",IF(MAX(D50,F50,G50)=D50,"iFood","Keeta")),"")</f>
        <v/>
      </c>
    </row>
    <row r="51">
      <c r="A51" s="10" t="n">
        <v>45</v>
      </c>
      <c r="B51" s="11" t="inlineStr">
        <is>
          <t>MARGUERITA</t>
        </is>
      </c>
      <c r="C51" s="13">
        <f>'Comparativo Geral'!G51</f>
        <v/>
      </c>
      <c r="D51" s="25">
        <f>IFERROR(C51*(1-$B$4),"")</f>
        <v/>
      </c>
      <c r="E51" s="13">
        <f>'Comparativo Geral'!I51</f>
        <v/>
      </c>
      <c r="F51" s="25">
        <f>IFERROR(E51*(1-$E$4),"")</f>
        <v/>
      </c>
      <c r="G51" s="13">
        <f>'Comparativo Geral'!E51</f>
        <v/>
      </c>
      <c r="H51" s="26">
        <f>IFERROR(IF(MAX(D51,F51,G51)=G51,"WhatsApp",IF(MAX(D51,F51,G51)=D51,"iFood","Keeta")),"")</f>
        <v/>
      </c>
    </row>
    <row r="52">
      <c r="A52" s="10" t="n">
        <v>46</v>
      </c>
      <c r="B52" s="11" t="inlineStr">
        <is>
          <t>MARGUERITA ESPECIAL</t>
        </is>
      </c>
      <c r="C52" s="13">
        <f>'Comparativo Geral'!G52</f>
        <v/>
      </c>
      <c r="D52" s="25">
        <f>IFERROR(C52*(1-$B$4),"")</f>
        <v/>
      </c>
      <c r="E52" s="13">
        <f>'Comparativo Geral'!I52</f>
        <v/>
      </c>
      <c r="F52" s="25">
        <f>IFERROR(E52*(1-$E$4),"")</f>
        <v/>
      </c>
      <c r="G52" s="13">
        <f>'Comparativo Geral'!E52</f>
        <v/>
      </c>
      <c r="H52" s="26">
        <f>IFERROR(IF(MAX(D52,F52,G52)=G52,"WhatsApp",IF(MAX(D52,F52,G52)=D52,"iFood","Keeta")),"")</f>
        <v/>
      </c>
    </row>
    <row r="53">
      <c r="A53" s="10" t="n">
        <v>47</v>
      </c>
      <c r="B53" s="11" t="inlineStr">
        <is>
          <t>MILHO</t>
        </is>
      </c>
      <c r="C53" s="13">
        <f>'Comparativo Geral'!G53</f>
        <v/>
      </c>
      <c r="D53" s="25">
        <f>IFERROR(C53*(1-$B$4),"")</f>
        <v/>
      </c>
      <c r="E53" s="13">
        <f>'Comparativo Geral'!I53</f>
        <v/>
      </c>
      <c r="F53" s="25">
        <f>IFERROR(E53*(1-$E$4),"")</f>
        <v/>
      </c>
      <c r="G53" s="13">
        <f>'Comparativo Geral'!E53</f>
        <v/>
      </c>
      <c r="H53" s="26">
        <f>IFERROR(IF(MAX(D53,F53,G53)=G53,"WhatsApp",IF(MAX(D53,F53,G53)=D53,"iFood","Keeta")),"")</f>
        <v/>
      </c>
    </row>
    <row r="54">
      <c r="A54" s="10" t="n">
        <v>48</v>
      </c>
      <c r="B54" s="11" t="inlineStr">
        <is>
          <t>MISTA</t>
        </is>
      </c>
      <c r="C54" s="13">
        <f>'Comparativo Geral'!G54</f>
        <v/>
      </c>
      <c r="D54" s="25">
        <f>IFERROR(C54*(1-$B$4),"")</f>
        <v/>
      </c>
      <c r="E54" s="13">
        <f>'Comparativo Geral'!I54</f>
        <v/>
      </c>
      <c r="F54" s="25">
        <f>IFERROR(E54*(1-$E$4),"")</f>
        <v/>
      </c>
      <c r="G54" s="13">
        <f>'Comparativo Geral'!E54</f>
        <v/>
      </c>
      <c r="H54" s="26">
        <f>IFERROR(IF(MAX(D54,F54,G54)=G54,"WhatsApp",IF(MAX(D54,F54,G54)=D54,"iFood","Keeta")),"")</f>
        <v/>
      </c>
    </row>
    <row r="55">
      <c r="A55" s="10" t="n">
        <v>49</v>
      </c>
      <c r="B55" s="11" t="inlineStr">
        <is>
          <t>MUSSARELA</t>
        </is>
      </c>
      <c r="C55" s="13">
        <f>'Comparativo Geral'!G55</f>
        <v/>
      </c>
      <c r="D55" s="25">
        <f>IFERROR(C55*(1-$B$4),"")</f>
        <v/>
      </c>
      <c r="E55" s="13">
        <f>'Comparativo Geral'!I55</f>
        <v/>
      </c>
      <c r="F55" s="25">
        <f>IFERROR(E55*(1-$E$4),"")</f>
        <v/>
      </c>
      <c r="G55" s="13">
        <f>'Comparativo Geral'!E55</f>
        <v/>
      </c>
      <c r="H55" s="26">
        <f>IFERROR(IF(MAX(D55,F55,G55)=G55,"WhatsApp",IF(MAX(D55,F55,G55)=D55,"iFood","Keeta")),"")</f>
        <v/>
      </c>
    </row>
    <row r="56">
      <c r="A56" s="10" t="n">
        <v>50</v>
      </c>
      <c r="B56" s="11" t="inlineStr">
        <is>
          <t>NAPOLITANA</t>
        </is>
      </c>
      <c r="C56" s="13">
        <f>'Comparativo Geral'!G56</f>
        <v/>
      </c>
      <c r="D56" s="25">
        <f>IFERROR(C56*(1-$B$4),"")</f>
        <v/>
      </c>
      <c r="E56" s="13">
        <f>'Comparativo Geral'!I56</f>
        <v/>
      </c>
      <c r="F56" s="25">
        <f>IFERROR(E56*(1-$E$4),"")</f>
        <v/>
      </c>
      <c r="G56" s="13">
        <f>'Comparativo Geral'!E56</f>
        <v/>
      </c>
      <c r="H56" s="26">
        <f>IFERROR(IF(MAX(D56,F56,G56)=G56,"WhatsApp",IF(MAX(D56,F56,G56)=D56,"iFood","Keeta")),"")</f>
        <v/>
      </c>
    </row>
    <row r="57">
      <c r="A57" s="10" t="n">
        <v>51</v>
      </c>
      <c r="B57" s="11" t="inlineStr">
        <is>
          <t>PALMITO</t>
        </is>
      </c>
      <c r="C57" s="13">
        <f>'Comparativo Geral'!G57</f>
        <v/>
      </c>
      <c r="D57" s="25">
        <f>IFERROR(C57*(1-$B$4),"")</f>
        <v/>
      </c>
      <c r="E57" s="13">
        <f>'Comparativo Geral'!I57</f>
        <v/>
      </c>
      <c r="F57" s="25">
        <f>IFERROR(E57*(1-$E$4),"")</f>
        <v/>
      </c>
      <c r="G57" s="13">
        <f>'Comparativo Geral'!E57</f>
        <v/>
      </c>
      <c r="H57" s="26">
        <f>IFERROR(IF(MAX(D57,F57,G57)=G57,"WhatsApp",IF(MAX(D57,F57,G57)=D57,"iFood","Keeta")),"")</f>
        <v/>
      </c>
    </row>
    <row r="58">
      <c r="A58" s="10" t="n">
        <v>52</v>
      </c>
      <c r="B58" s="11" t="inlineStr">
        <is>
          <t>PEPPERONE</t>
        </is>
      </c>
      <c r="C58" s="13">
        <f>'Comparativo Geral'!G58</f>
        <v/>
      </c>
      <c r="D58" s="25">
        <f>IFERROR(C58*(1-$B$4),"")</f>
        <v/>
      </c>
      <c r="E58" s="13">
        <f>'Comparativo Geral'!I58</f>
        <v/>
      </c>
      <c r="F58" s="25">
        <f>IFERROR(E58*(1-$E$4),"")</f>
        <v/>
      </c>
      <c r="G58" s="13">
        <f>'Comparativo Geral'!E58</f>
        <v/>
      </c>
      <c r="H58" s="26">
        <f>IFERROR(IF(MAX(D58,F58,G58)=G58,"WhatsApp",IF(MAX(D58,F58,G58)=D58,"iFood","Keeta")),"")</f>
        <v/>
      </c>
    </row>
    <row r="59">
      <c r="A59" s="10" t="n">
        <v>53</v>
      </c>
      <c r="B59" s="11" t="inlineStr">
        <is>
          <t>PERUANA</t>
        </is>
      </c>
      <c r="C59" s="13">
        <f>'Comparativo Geral'!G59</f>
        <v/>
      </c>
      <c r="D59" s="25">
        <f>IFERROR(C59*(1-$B$4),"")</f>
        <v/>
      </c>
      <c r="E59" s="13">
        <f>'Comparativo Geral'!I59</f>
        <v/>
      </c>
      <c r="F59" s="25">
        <f>IFERROR(E59*(1-$E$4),"")</f>
        <v/>
      </c>
      <c r="G59" s="13">
        <f>'Comparativo Geral'!E59</f>
        <v/>
      </c>
      <c r="H59" s="26">
        <f>IFERROR(IF(MAX(D59,F59,G59)=G59,"WhatsApp",IF(MAX(D59,F59,G59)=D59,"iFood","Keeta")),"")</f>
        <v/>
      </c>
    </row>
    <row r="60">
      <c r="A60" s="10" t="n">
        <v>54</v>
      </c>
      <c r="B60" s="11" t="inlineStr">
        <is>
          <t>PORTUGUESA</t>
        </is>
      </c>
      <c r="C60" s="13">
        <f>'Comparativo Geral'!G60</f>
        <v/>
      </c>
      <c r="D60" s="25">
        <f>IFERROR(C60*(1-$B$4),"")</f>
        <v/>
      </c>
      <c r="E60" s="13">
        <f>'Comparativo Geral'!I60</f>
        <v/>
      </c>
      <c r="F60" s="25">
        <f>IFERROR(E60*(1-$E$4),"")</f>
        <v/>
      </c>
      <c r="G60" s="13">
        <f>'Comparativo Geral'!E60</f>
        <v/>
      </c>
      <c r="H60" s="26">
        <f>IFERROR(IF(MAX(D60,F60,G60)=G60,"WhatsApp",IF(MAX(D60,F60,G60)=D60,"iFood","Keeta")),"")</f>
        <v/>
      </c>
    </row>
    <row r="61">
      <c r="A61" s="10" t="n">
        <v>55</v>
      </c>
      <c r="B61" s="11" t="inlineStr">
        <is>
          <t>PORTUGUESA II</t>
        </is>
      </c>
      <c r="C61" s="13">
        <f>'Comparativo Geral'!G61</f>
        <v/>
      </c>
      <c r="D61" s="25">
        <f>IFERROR(C61*(1-$B$4),"")</f>
        <v/>
      </c>
      <c r="E61" s="13">
        <f>'Comparativo Geral'!I61</f>
        <v/>
      </c>
      <c r="F61" s="25">
        <f>IFERROR(E61*(1-$E$4),"")</f>
        <v/>
      </c>
      <c r="G61" s="13">
        <f>'Comparativo Geral'!E61</f>
        <v/>
      </c>
      <c r="H61" s="26">
        <f>IFERROR(IF(MAX(D61,F61,G61)=G61,"WhatsApp",IF(MAX(D61,F61,G61)=D61,"iFood","Keeta")),"")</f>
        <v/>
      </c>
    </row>
    <row r="62">
      <c r="A62" s="10" t="n">
        <v>56</v>
      </c>
      <c r="B62" s="11" t="inlineStr">
        <is>
          <t>PRIMEIRA CLASSE</t>
        </is>
      </c>
      <c r="C62" s="13">
        <f>'Comparativo Geral'!G62</f>
        <v/>
      </c>
      <c r="D62" s="25">
        <f>IFERROR(C62*(1-$B$4),"")</f>
        <v/>
      </c>
      <c r="E62" s="13">
        <f>'Comparativo Geral'!I62</f>
        <v/>
      </c>
      <c r="F62" s="25">
        <f>IFERROR(E62*(1-$E$4),"")</f>
        <v/>
      </c>
      <c r="G62" s="13">
        <f>'Comparativo Geral'!E62</f>
        <v/>
      </c>
      <c r="H62" s="26">
        <f>IFERROR(IF(MAX(D62,F62,G62)=G62,"WhatsApp",IF(MAX(D62,F62,G62)=D62,"iFood","Keeta")),"")</f>
        <v/>
      </c>
    </row>
    <row r="63">
      <c r="A63" s="10" t="n">
        <v>57</v>
      </c>
      <c r="B63" s="11" t="inlineStr">
        <is>
          <t>ROMANA</t>
        </is>
      </c>
      <c r="C63" s="13">
        <f>'Comparativo Geral'!G63</f>
        <v/>
      </c>
      <c r="D63" s="25">
        <f>IFERROR(C63*(1-$B$4),"")</f>
        <v/>
      </c>
      <c r="E63" s="13">
        <f>'Comparativo Geral'!I63</f>
        <v/>
      </c>
      <c r="F63" s="25">
        <f>IFERROR(E63*(1-$E$4),"")</f>
        <v/>
      </c>
      <c r="G63" s="13">
        <f>'Comparativo Geral'!E63</f>
        <v/>
      </c>
      <c r="H63" s="26">
        <f>IFERROR(IF(MAX(D63,F63,G63)=G63,"WhatsApp",IF(MAX(D63,F63,G63)=D63,"iFood","Keeta")),"")</f>
        <v/>
      </c>
    </row>
    <row r="64">
      <c r="A64" s="10" t="n">
        <v>58</v>
      </c>
      <c r="B64" s="11" t="inlineStr">
        <is>
          <t>RÚCULA</t>
        </is>
      </c>
      <c r="C64" s="13">
        <f>'Comparativo Geral'!G64</f>
        <v/>
      </c>
      <c r="D64" s="25">
        <f>IFERROR(C64*(1-$B$4),"")</f>
        <v/>
      </c>
      <c r="E64" s="13">
        <f>'Comparativo Geral'!I64</f>
        <v/>
      </c>
      <c r="F64" s="25">
        <f>IFERROR(E64*(1-$E$4),"")</f>
        <v/>
      </c>
      <c r="G64" s="13">
        <f>'Comparativo Geral'!E64</f>
        <v/>
      </c>
      <c r="H64" s="26">
        <f>IFERROR(IF(MAX(D64,F64,G64)=G64,"WhatsApp",IF(MAX(D64,F64,G64)=D64,"iFood","Keeta")),"")</f>
        <v/>
      </c>
    </row>
    <row r="65">
      <c r="A65" s="10" t="n">
        <v>59</v>
      </c>
      <c r="B65" s="11" t="inlineStr">
        <is>
          <t>SICILIANA</t>
        </is>
      </c>
      <c r="C65" s="13">
        <f>'Comparativo Geral'!G65</f>
        <v/>
      </c>
      <c r="D65" s="25">
        <f>IFERROR(C65*(1-$B$4),"")</f>
        <v/>
      </c>
      <c r="E65" s="13">
        <f>'Comparativo Geral'!I65</f>
        <v/>
      </c>
      <c r="F65" s="25">
        <f>IFERROR(E65*(1-$E$4),"")</f>
        <v/>
      </c>
      <c r="G65" s="13">
        <f>'Comparativo Geral'!E65</f>
        <v/>
      </c>
      <c r="H65" s="26">
        <f>IFERROR(IF(MAX(D65,F65,G65)=G65,"WhatsApp",IF(MAX(D65,F65,G65)=D65,"iFood","Keeta")),"")</f>
        <v/>
      </c>
    </row>
    <row r="66">
      <c r="A66" s="10" t="n">
        <v>60</v>
      </c>
      <c r="B66" s="11" t="inlineStr">
        <is>
          <t>STROGONOFF</t>
        </is>
      </c>
      <c r="C66" s="13">
        <f>'Comparativo Geral'!G66</f>
        <v/>
      </c>
      <c r="D66" s="25">
        <f>IFERROR(C66*(1-$B$4),"")</f>
        <v/>
      </c>
      <c r="E66" s="13">
        <f>'Comparativo Geral'!I66</f>
        <v/>
      </c>
      <c r="F66" s="25">
        <f>IFERROR(E66*(1-$E$4),"")</f>
        <v/>
      </c>
      <c r="G66" s="13">
        <f>'Comparativo Geral'!E66</f>
        <v/>
      </c>
      <c r="H66" s="26">
        <f>IFERROR(IF(MAX(D66,F66,G66)=G66,"WhatsApp",IF(MAX(D66,F66,G66)=D66,"iFood","Keeta")),"")</f>
        <v/>
      </c>
    </row>
    <row r="67">
      <c r="A67" s="10" t="n">
        <v>61</v>
      </c>
      <c r="B67" s="11" t="inlineStr">
        <is>
          <t>TOMATE SECO</t>
        </is>
      </c>
      <c r="C67" s="13">
        <f>'Comparativo Geral'!G67</f>
        <v/>
      </c>
      <c r="D67" s="25">
        <f>IFERROR(C67*(1-$B$4),"")</f>
        <v/>
      </c>
      <c r="E67" s="13">
        <f>'Comparativo Geral'!I67</f>
        <v/>
      </c>
      <c r="F67" s="25">
        <f>IFERROR(E67*(1-$E$4),"")</f>
        <v/>
      </c>
      <c r="G67" s="13">
        <f>'Comparativo Geral'!E67</f>
        <v/>
      </c>
      <c r="H67" s="26">
        <f>IFERROR(IF(MAX(D67,F67,G67)=G67,"WhatsApp",IF(MAX(D67,F67,G67)=D67,"iFood","Keeta")),"")</f>
        <v/>
      </c>
    </row>
    <row r="68">
      <c r="A68" s="10" t="n">
        <v>62</v>
      </c>
      <c r="B68" s="11" t="inlineStr">
        <is>
          <t>TOSCANA</t>
        </is>
      </c>
      <c r="C68" s="13">
        <f>'Comparativo Geral'!G68</f>
        <v/>
      </c>
      <c r="D68" s="25">
        <f>IFERROR(C68*(1-$B$4),"")</f>
        <v/>
      </c>
      <c r="E68" s="13">
        <f>'Comparativo Geral'!I68</f>
        <v/>
      </c>
      <c r="F68" s="25">
        <f>IFERROR(E68*(1-$E$4),"")</f>
        <v/>
      </c>
      <c r="G68" s="13">
        <f>'Comparativo Geral'!E68</f>
        <v/>
      </c>
      <c r="H68" s="26">
        <f>IFERROR(IF(MAX(D68,F68,G68)=G68,"WhatsApp",IF(MAX(D68,F68,G68)=D68,"iFood","Keeta")),"")</f>
        <v/>
      </c>
    </row>
    <row r="69">
      <c r="A69" s="10" t="n">
        <v>63</v>
      </c>
      <c r="B69" s="11" t="inlineStr">
        <is>
          <t>VEGETARIANA</t>
        </is>
      </c>
      <c r="C69" s="13">
        <f>'Comparativo Geral'!G69</f>
        <v/>
      </c>
      <c r="D69" s="25">
        <f>IFERROR(C69*(1-$B$4),"")</f>
        <v/>
      </c>
      <c r="E69" s="13">
        <f>'Comparativo Geral'!I69</f>
        <v/>
      </c>
      <c r="F69" s="25">
        <f>IFERROR(E69*(1-$E$4),"")</f>
        <v/>
      </c>
      <c r="G69" s="13">
        <f>'Comparativo Geral'!E69</f>
        <v/>
      </c>
      <c r="H69" s="26">
        <f>IFERROR(IF(MAX(D69,F69,G69)=G69,"WhatsApp",IF(MAX(D69,F69,G69)=D69,"iFood","Keeta")),"")</f>
        <v/>
      </c>
    </row>
    <row r="70">
      <c r="A70" s="10" t="n">
        <v>64</v>
      </c>
      <c r="B70" s="11" t="inlineStr">
        <is>
          <t>BANANA</t>
        </is>
      </c>
      <c r="C70" s="13">
        <f>'Comparativo Geral'!G70</f>
        <v/>
      </c>
      <c r="D70" s="25">
        <f>IFERROR(C70*(1-$B$4),"")</f>
        <v/>
      </c>
      <c r="E70" s="13">
        <f>'Comparativo Geral'!I70</f>
        <v/>
      </c>
      <c r="F70" s="25">
        <f>IFERROR(E70*(1-$E$4),"")</f>
        <v/>
      </c>
      <c r="G70" s="13">
        <f>'Comparativo Geral'!E70</f>
        <v/>
      </c>
      <c r="H70" s="26">
        <f>IFERROR(IF(MAX(D70,F70,G70)=G70,"WhatsApp",IF(MAX(D70,F70,G70)=D70,"iFood","Keeta")),"")</f>
        <v/>
      </c>
    </row>
    <row r="71">
      <c r="A71" s="10" t="n">
        <v>65</v>
      </c>
      <c r="B71" s="11" t="inlineStr">
        <is>
          <t>BRIGADEIRO</t>
        </is>
      </c>
      <c r="C71" s="13">
        <f>'Comparativo Geral'!G71</f>
        <v/>
      </c>
      <c r="D71" s="25">
        <f>IFERROR(C71*(1-$B$4),"")</f>
        <v/>
      </c>
      <c r="E71" s="13">
        <f>'Comparativo Geral'!I71</f>
        <v/>
      </c>
      <c r="F71" s="25">
        <f>IFERROR(E71*(1-$E$4),"")</f>
        <v/>
      </c>
      <c r="G71" s="13">
        <f>'Comparativo Geral'!E71</f>
        <v/>
      </c>
      <c r="H71" s="26">
        <f>IFERROR(IF(MAX(D71,F71,G71)=G71,"WhatsApp",IF(MAX(D71,F71,G71)=D71,"iFood","Keeta")),"")</f>
        <v/>
      </c>
    </row>
    <row r="72">
      <c r="A72" s="10" t="n">
        <v>66</v>
      </c>
      <c r="B72" s="11" t="inlineStr">
        <is>
          <t>ROMEU E JULIETA</t>
        </is>
      </c>
      <c r="C72" s="13">
        <f>'Comparativo Geral'!G72</f>
        <v/>
      </c>
      <c r="D72" s="25">
        <f>IFERROR(C72*(1-$B$4),"")</f>
        <v/>
      </c>
      <c r="E72" s="13">
        <f>'Comparativo Geral'!I72</f>
        <v/>
      </c>
      <c r="F72" s="25">
        <f>IFERROR(E72*(1-$E$4),"")</f>
        <v/>
      </c>
      <c r="G72" s="13">
        <f>'Comparativo Geral'!E72</f>
        <v/>
      </c>
      <c r="H72" s="26">
        <f>IFERROR(IF(MAX(D72,F72,G72)=G72,"WhatsApp",IF(MAX(D72,F72,G72)=D72,"iFood","Keeta")),"")</f>
        <v/>
      </c>
    </row>
    <row r="73">
      <c r="A73" s="10" t="n">
        <v>67</v>
      </c>
      <c r="B73" s="11" t="inlineStr">
        <is>
          <t>CHOCOLATE COM MORANGO</t>
        </is>
      </c>
      <c r="C73" s="13">
        <f>'Comparativo Geral'!G73</f>
        <v/>
      </c>
      <c r="D73" s="25">
        <f>IFERROR(C73*(1-$B$4),"")</f>
        <v/>
      </c>
      <c r="E73" s="13">
        <f>'Comparativo Geral'!I73</f>
        <v/>
      </c>
      <c r="F73" s="25">
        <f>IFERROR(E73*(1-$E$4),"")</f>
        <v/>
      </c>
      <c r="G73" s="13">
        <f>'Comparativo Geral'!E73</f>
        <v/>
      </c>
      <c r="H73" s="26">
        <f>IFERROR(IF(MAX(D73,F73,G73)=G73,"WhatsApp",IF(MAX(D73,F73,G73)=D73,"iFood","Keeta")),"")</f>
        <v/>
      </c>
    </row>
    <row r="74">
      <c r="A74" s="10" t="n">
        <v>68</v>
      </c>
      <c r="B74" s="11" t="inlineStr">
        <is>
          <t>TORTA HOLANDESA</t>
        </is>
      </c>
      <c r="C74" s="13">
        <f>'Comparativo Geral'!G74</f>
        <v/>
      </c>
      <c r="D74" s="25">
        <f>IFERROR(C74*(1-$B$4),"")</f>
        <v/>
      </c>
      <c r="E74" s="13">
        <f>'Comparativo Geral'!I74</f>
        <v/>
      </c>
      <c r="F74" s="25">
        <f>IFERROR(E74*(1-$E$4),"")</f>
        <v/>
      </c>
      <c r="G74" s="13">
        <f>'Comparativo Geral'!E74</f>
        <v/>
      </c>
      <c r="H74" s="26">
        <f>IFERROR(IF(MAX(D74,F74,G74)=G74,"WhatsApp",IF(MAX(D74,F74,G74)=D74,"iFood","Keeta")),"")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Preço sugerido WhatsApp — ganhar X% a mais que o iFood líquido</t>
        </is>
      </c>
    </row>
    <row r="2" ht="32" customHeight="1">
      <c r="A2" s="2" t="inlineStr">
        <is>
          <t>Define um preço-alvo para o WhatsApp que supere o líquido do iFood em um % de margem desejado. Mexa na célula amarela B4 para mudar o objetivo de margem; tudo recalcula.</t>
        </is>
      </c>
    </row>
    <row r="4">
      <c r="A4" s="11" t="inlineStr">
        <is>
          <t>Margem-alvo sobre iFood líquido:</t>
        </is>
      </c>
      <c r="B4" s="23" t="n">
        <v>0.15</v>
      </c>
      <c r="D4" s="24" t="inlineStr">
        <is>
          <t>(ex: 15% = WhatsApp deve render 15% a mais que o iFood líquido)</t>
        </is>
      </c>
    </row>
    <row r="6">
      <c r="A6" s="8" t="inlineStr">
        <is>
          <t>Nº</t>
        </is>
      </c>
      <c r="B6" s="8" t="inlineStr">
        <is>
          <t>Pizza</t>
        </is>
      </c>
      <c r="C6" s="8" t="inlineStr">
        <is>
          <t>iFood líquido Broto</t>
        </is>
      </c>
      <c r="D6" s="8" t="inlineStr">
        <is>
          <t>Sugerido WA Broto</t>
        </is>
      </c>
      <c r="E6" s="8" t="inlineStr">
        <is>
          <t>iFood líquido Grande</t>
        </is>
      </c>
      <c r="F6" s="8" t="inlineStr">
        <is>
          <t>Sugerido WA Grande</t>
        </is>
      </c>
    </row>
    <row r="7">
      <c r="A7" s="10" t="n">
        <v>1</v>
      </c>
      <c r="B7" s="11" t="inlineStr">
        <is>
          <t>2 QUEIJOS</t>
        </is>
      </c>
      <c r="C7" s="13">
        <f>IFERROR('Comparativo Geral'!F7*(1-'Margem real'!$B$4),"")</f>
        <v/>
      </c>
      <c r="D7" s="27">
        <f>IFERROR(C7*(1+$B$4),"")</f>
        <v/>
      </c>
      <c r="E7" s="13">
        <f>IFERROR('Comparativo Geral'!G7*(1-'Margem real'!$B$4),"")</f>
        <v/>
      </c>
      <c r="F7" s="27">
        <f>IFERROR(E7*(1+$B$4),"")</f>
        <v/>
      </c>
    </row>
    <row r="8">
      <c r="A8" s="10" t="n">
        <v>2</v>
      </c>
      <c r="B8" s="11" t="inlineStr">
        <is>
          <t>4 QUEIJOS</t>
        </is>
      </c>
      <c r="C8" s="13">
        <f>IFERROR('Comparativo Geral'!F8*(1-'Margem real'!$B$4),"")</f>
        <v/>
      </c>
      <c r="D8" s="27">
        <f>IFERROR(C8*(1+$B$4),"")</f>
        <v/>
      </c>
      <c r="E8" s="13">
        <f>IFERROR('Comparativo Geral'!G8*(1-'Margem real'!$B$4),"")</f>
        <v/>
      </c>
      <c r="F8" s="27">
        <f>IFERROR(E8*(1+$B$4),"")</f>
        <v/>
      </c>
    </row>
    <row r="9">
      <c r="A9" s="10" t="n">
        <v>3</v>
      </c>
      <c r="B9" s="11" t="inlineStr">
        <is>
          <t>5 QUEIJOS</t>
        </is>
      </c>
      <c r="C9" s="13">
        <f>IFERROR('Comparativo Geral'!F9*(1-'Margem real'!$B$4),"")</f>
        <v/>
      </c>
      <c r="D9" s="27">
        <f>IFERROR(C9*(1+$B$4),"")</f>
        <v/>
      </c>
      <c r="E9" s="13">
        <f>IFERROR('Comparativo Geral'!G9*(1-'Margem real'!$B$4),"")</f>
        <v/>
      </c>
      <c r="F9" s="27">
        <f>IFERROR(E9*(1+$B$4),"")</f>
        <v/>
      </c>
    </row>
    <row r="10">
      <c r="A10" s="10" t="n">
        <v>4</v>
      </c>
      <c r="B10" s="11" t="inlineStr">
        <is>
          <t>A MODA DA CASA</t>
        </is>
      </c>
      <c r="C10" s="13">
        <f>IFERROR('Comparativo Geral'!F10*(1-'Margem real'!$B$4),"")</f>
        <v/>
      </c>
      <c r="D10" s="27">
        <f>IFERROR(C10*(1+$B$4),"")</f>
        <v/>
      </c>
      <c r="E10" s="13">
        <f>IFERROR('Comparativo Geral'!G10*(1-'Margem real'!$B$4),"")</f>
        <v/>
      </c>
      <c r="F10" s="27">
        <f>IFERROR(E10*(1+$B$4),"")</f>
        <v/>
      </c>
    </row>
    <row r="11">
      <c r="A11" s="10" t="n">
        <v>5</v>
      </c>
      <c r="B11" s="11" t="inlineStr">
        <is>
          <t>ABOBRINHA</t>
        </is>
      </c>
      <c r="C11" s="13">
        <f>IFERROR('Comparativo Geral'!F11*(1-'Margem real'!$B$4),"")</f>
        <v/>
      </c>
      <c r="D11" s="27">
        <f>IFERROR(C11*(1+$B$4),"")</f>
        <v/>
      </c>
      <c r="E11" s="13">
        <f>IFERROR('Comparativo Geral'!G11*(1-'Margem real'!$B$4),"")</f>
        <v/>
      </c>
      <c r="F11" s="27">
        <f>IFERROR(E11*(1+$B$4),"")</f>
        <v/>
      </c>
    </row>
    <row r="12">
      <c r="A12" s="10" t="n">
        <v>6</v>
      </c>
      <c r="B12" s="11" t="inlineStr">
        <is>
          <t>ALADINELE</t>
        </is>
      </c>
      <c r="C12" s="13">
        <f>IFERROR('Comparativo Geral'!F12*(1-'Margem real'!$B$4),"")</f>
        <v/>
      </c>
      <c r="D12" s="27">
        <f>IFERROR(C12*(1+$B$4),"")</f>
        <v/>
      </c>
      <c r="E12" s="13">
        <f>IFERROR('Comparativo Geral'!G12*(1-'Margem real'!$B$4),"")</f>
        <v/>
      </c>
      <c r="F12" s="27">
        <f>IFERROR(E12*(1+$B$4),"")</f>
        <v/>
      </c>
    </row>
    <row r="13">
      <c r="A13" s="10" t="n">
        <v>7</v>
      </c>
      <c r="B13" s="11" t="inlineStr">
        <is>
          <t>ALCACHOFRA</t>
        </is>
      </c>
      <c r="C13" s="13">
        <f>IFERROR('Comparativo Geral'!F13*(1-'Margem real'!$B$4),"")</f>
        <v/>
      </c>
      <c r="D13" s="27">
        <f>IFERROR(C13*(1+$B$4),"")</f>
        <v/>
      </c>
      <c r="E13" s="13">
        <f>IFERROR('Comparativo Geral'!G13*(1-'Margem real'!$B$4),"")</f>
        <v/>
      </c>
      <c r="F13" s="27">
        <f>IFERROR(E13*(1+$B$4),"")</f>
        <v/>
      </c>
    </row>
    <row r="14">
      <c r="A14" s="10" t="n">
        <v>8</v>
      </c>
      <c r="B14" s="11" t="inlineStr">
        <is>
          <t>ALCACHOFRA ESPECIAL</t>
        </is>
      </c>
      <c r="C14" s="13">
        <f>IFERROR('Comparativo Geral'!F14*(1-'Margem real'!$B$4),"")</f>
        <v/>
      </c>
      <c r="D14" s="27">
        <f>IFERROR(C14*(1+$B$4),"")</f>
        <v/>
      </c>
      <c r="E14" s="13">
        <f>IFERROR('Comparativo Geral'!G14*(1-'Margem real'!$B$4),"")</f>
        <v/>
      </c>
      <c r="F14" s="27">
        <f>IFERROR(E14*(1+$B$4),"")</f>
        <v/>
      </c>
    </row>
    <row r="15">
      <c r="A15" s="10" t="n">
        <v>9</v>
      </c>
      <c r="B15" s="11" t="inlineStr">
        <is>
          <t>ALHO</t>
        </is>
      </c>
      <c r="C15" s="13">
        <f>IFERROR('Comparativo Geral'!F15*(1-'Margem real'!$B$4),"")</f>
        <v/>
      </c>
      <c r="D15" s="27">
        <f>IFERROR(C15*(1+$B$4),"")</f>
        <v/>
      </c>
      <c r="E15" s="13">
        <f>IFERROR('Comparativo Geral'!G15*(1-'Margem real'!$B$4),"")</f>
        <v/>
      </c>
      <c r="F15" s="27">
        <f>IFERROR(E15*(1+$B$4),"")</f>
        <v/>
      </c>
    </row>
    <row r="16">
      <c r="A16" s="10" t="n">
        <v>10</v>
      </c>
      <c r="B16" s="11" t="inlineStr">
        <is>
          <t>ALHO PORÓ</t>
        </is>
      </c>
      <c r="C16" s="13">
        <f>IFERROR('Comparativo Geral'!F16*(1-'Margem real'!$B$4),"")</f>
        <v/>
      </c>
      <c r="D16" s="27">
        <f>IFERROR(C16*(1+$B$4),"")</f>
        <v/>
      </c>
      <c r="E16" s="13">
        <f>IFERROR('Comparativo Geral'!G16*(1-'Margem real'!$B$4),"")</f>
        <v/>
      </c>
      <c r="F16" s="27">
        <f>IFERROR(E16*(1+$B$4),"")</f>
        <v/>
      </c>
    </row>
    <row r="17">
      <c r="A17" s="10" t="n">
        <v>11</v>
      </c>
      <c r="B17" s="11" t="inlineStr">
        <is>
          <t>ALICHE IMPORTADO</t>
        </is>
      </c>
      <c r="C17" s="13">
        <f>IFERROR('Comparativo Geral'!F17*(1-'Margem real'!$B$4),"")</f>
        <v/>
      </c>
      <c r="D17" s="27">
        <f>IFERROR(C17*(1+$B$4),"")</f>
        <v/>
      </c>
      <c r="E17" s="13">
        <f>IFERROR('Comparativo Geral'!G17*(1-'Margem real'!$B$4),"")</f>
        <v/>
      </c>
      <c r="F17" s="27">
        <f>IFERROR(E17*(1+$B$4),"")</f>
        <v/>
      </c>
    </row>
    <row r="18">
      <c r="A18" s="10" t="n">
        <v>12</v>
      </c>
      <c r="B18" s="11" t="inlineStr">
        <is>
          <t>AMERICANA</t>
        </is>
      </c>
      <c r="C18" s="13">
        <f>IFERROR('Comparativo Geral'!F18*(1-'Margem real'!$B$4),"")</f>
        <v/>
      </c>
      <c r="D18" s="27">
        <f>IFERROR(C18*(1+$B$4),"")</f>
        <v/>
      </c>
      <c r="E18" s="13">
        <f>IFERROR('Comparativo Geral'!G18*(1-'Margem real'!$B$4),"")</f>
        <v/>
      </c>
      <c r="F18" s="27">
        <f>IFERROR(E18*(1+$B$4),"")</f>
        <v/>
      </c>
    </row>
    <row r="19">
      <c r="A19" s="10" t="n">
        <v>13</v>
      </c>
      <c r="B19" s="11" t="inlineStr">
        <is>
          <t>ARTES DA PIZZA</t>
        </is>
      </c>
      <c r="C19" s="13">
        <f>IFERROR('Comparativo Geral'!F19*(1-'Margem real'!$B$4),"")</f>
        <v/>
      </c>
      <c r="D19" s="27">
        <f>IFERROR(C19*(1+$B$4),"")</f>
        <v/>
      </c>
      <c r="E19" s="13">
        <f>IFERROR('Comparativo Geral'!G19*(1-'Margem real'!$B$4),"")</f>
        <v/>
      </c>
      <c r="F19" s="27">
        <f>IFERROR(E19*(1+$B$4),"")</f>
        <v/>
      </c>
    </row>
    <row r="20">
      <c r="A20" s="10" t="n">
        <v>14</v>
      </c>
      <c r="B20" s="11" t="inlineStr">
        <is>
          <t>ATUM</t>
        </is>
      </c>
      <c r="C20" s="13">
        <f>IFERROR('Comparativo Geral'!F20*(1-'Margem real'!$B$4),"")</f>
        <v/>
      </c>
      <c r="D20" s="27">
        <f>IFERROR(C20*(1+$B$4),"")</f>
        <v/>
      </c>
      <c r="E20" s="13">
        <f>IFERROR('Comparativo Geral'!G20*(1-'Margem real'!$B$4),"")</f>
        <v/>
      </c>
      <c r="F20" s="27">
        <f>IFERROR(E20*(1+$B$4),"")</f>
        <v/>
      </c>
    </row>
    <row r="21">
      <c r="A21" s="10" t="n">
        <v>15</v>
      </c>
      <c r="B21" s="11" t="inlineStr">
        <is>
          <t>ATUM ESPECIAL</t>
        </is>
      </c>
      <c r="C21" s="13">
        <f>IFERROR('Comparativo Geral'!F21*(1-'Margem real'!$B$4),"")</f>
        <v/>
      </c>
      <c r="D21" s="27">
        <f>IFERROR(C21*(1+$B$4),"")</f>
        <v/>
      </c>
      <c r="E21" s="13">
        <f>IFERROR('Comparativo Geral'!G21*(1-'Margem real'!$B$4),"")</f>
        <v/>
      </c>
      <c r="F21" s="27">
        <f>IFERROR(E21*(1+$B$4),"")</f>
        <v/>
      </c>
    </row>
    <row r="22">
      <c r="A22" s="10" t="n">
        <v>16</v>
      </c>
      <c r="B22" s="11" t="inlineStr">
        <is>
          <t>BACON</t>
        </is>
      </c>
      <c r="C22" s="13">
        <f>IFERROR('Comparativo Geral'!F22*(1-'Margem real'!$B$4),"")</f>
        <v/>
      </c>
      <c r="D22" s="27">
        <f>IFERROR(C22*(1+$B$4),"")</f>
        <v/>
      </c>
      <c r="E22" s="13">
        <f>IFERROR('Comparativo Geral'!G22*(1-'Margem real'!$B$4),"")</f>
        <v/>
      </c>
      <c r="F22" s="27">
        <f>IFERROR(E22*(1+$B$4),"")</f>
        <v/>
      </c>
    </row>
    <row r="23">
      <c r="A23" s="10" t="n">
        <v>17</v>
      </c>
      <c r="B23" s="11" t="inlineStr">
        <is>
          <t>BAIANA</t>
        </is>
      </c>
      <c r="C23" s="13">
        <f>IFERROR('Comparativo Geral'!F23*(1-'Margem real'!$B$4),"")</f>
        <v/>
      </c>
      <c r="D23" s="27">
        <f>IFERROR(C23*(1+$B$4),"")</f>
        <v/>
      </c>
      <c r="E23" s="13">
        <f>IFERROR('Comparativo Geral'!G23*(1-'Margem real'!$B$4),"")</f>
        <v/>
      </c>
      <c r="F23" s="27">
        <f>IFERROR(E23*(1+$B$4),"")</f>
        <v/>
      </c>
    </row>
    <row r="24">
      <c r="A24" s="10" t="n">
        <v>18</v>
      </c>
      <c r="B24" s="11" t="inlineStr">
        <is>
          <t>BERINJELA</t>
        </is>
      </c>
      <c r="C24" s="13">
        <f>IFERROR('Comparativo Geral'!F24*(1-'Margem real'!$B$4),"")</f>
        <v/>
      </c>
      <c r="D24" s="27">
        <f>IFERROR(C24*(1+$B$4),"")</f>
        <v/>
      </c>
      <c r="E24" s="13">
        <f>IFERROR('Comparativo Geral'!G24*(1-'Margem real'!$B$4),"")</f>
        <v/>
      </c>
      <c r="F24" s="27">
        <f>IFERROR(E24*(1+$B$4),"")</f>
        <v/>
      </c>
    </row>
    <row r="25">
      <c r="A25" s="10" t="n">
        <v>19</v>
      </c>
      <c r="B25" s="11" t="inlineStr">
        <is>
          <t>BRÓCOLIS</t>
        </is>
      </c>
      <c r="C25" s="13">
        <f>IFERROR('Comparativo Geral'!F25*(1-'Margem real'!$B$4),"")</f>
        <v/>
      </c>
      <c r="D25" s="27">
        <f>IFERROR(C25*(1+$B$4),"")</f>
        <v/>
      </c>
      <c r="E25" s="13">
        <f>IFERROR('Comparativo Geral'!G25*(1-'Margem real'!$B$4),"")</f>
        <v/>
      </c>
      <c r="F25" s="27">
        <f>IFERROR(E25*(1+$B$4),"")</f>
        <v/>
      </c>
    </row>
    <row r="26">
      <c r="A26" s="10" t="n">
        <v>20</v>
      </c>
      <c r="B26" s="11" t="inlineStr">
        <is>
          <t>BRÓCOLIS II</t>
        </is>
      </c>
      <c r="C26" s="13">
        <f>IFERROR('Comparativo Geral'!F26*(1-'Margem real'!$B$4),"")</f>
        <v/>
      </c>
      <c r="D26" s="27">
        <f>IFERROR(C26*(1+$B$4),"")</f>
        <v/>
      </c>
      <c r="E26" s="13">
        <f>IFERROR('Comparativo Geral'!G26*(1-'Margem real'!$B$4),"")</f>
        <v/>
      </c>
      <c r="F26" s="27">
        <f>IFERROR(E26*(1+$B$4),"")</f>
        <v/>
      </c>
    </row>
    <row r="27">
      <c r="A27" s="10" t="n">
        <v>21</v>
      </c>
      <c r="B27" s="11" t="inlineStr">
        <is>
          <t>BRÓCOLIS III</t>
        </is>
      </c>
      <c r="C27" s="13">
        <f>IFERROR('Comparativo Geral'!F27*(1-'Margem real'!$B$4),"")</f>
        <v/>
      </c>
      <c r="D27" s="27">
        <f>IFERROR(C27*(1+$B$4),"")</f>
        <v/>
      </c>
      <c r="E27" s="13">
        <f>IFERROR('Comparativo Geral'!G27*(1-'Margem real'!$B$4),"")</f>
        <v/>
      </c>
      <c r="F27" s="27">
        <f>IFERROR(E27*(1+$B$4),"")</f>
        <v/>
      </c>
    </row>
    <row r="28">
      <c r="A28" s="10" t="n">
        <v>22</v>
      </c>
      <c r="B28" s="11" t="inlineStr">
        <is>
          <t>BÚFALA</t>
        </is>
      </c>
      <c r="C28" s="13">
        <f>IFERROR('Comparativo Geral'!F28*(1-'Margem real'!$B$4),"")</f>
        <v/>
      </c>
      <c r="D28" s="27">
        <f>IFERROR(C28*(1+$B$4),"")</f>
        <v/>
      </c>
      <c r="E28" s="13">
        <f>IFERROR('Comparativo Geral'!G28*(1-'Margem real'!$B$4),"")</f>
        <v/>
      </c>
      <c r="F28" s="27">
        <f>IFERROR(E28*(1+$B$4),"")</f>
        <v/>
      </c>
    </row>
    <row r="29">
      <c r="A29" s="10" t="n">
        <v>23</v>
      </c>
      <c r="B29" s="11" t="inlineStr">
        <is>
          <t>CAIPIRA</t>
        </is>
      </c>
      <c r="C29" s="13">
        <f>IFERROR('Comparativo Geral'!F29*(1-'Margem real'!$B$4),"")</f>
        <v/>
      </c>
      <c r="D29" s="27">
        <f>IFERROR(C29*(1+$B$4),"")</f>
        <v/>
      </c>
      <c r="E29" s="13">
        <f>IFERROR('Comparativo Geral'!G29*(1-'Margem real'!$B$4),"")</f>
        <v/>
      </c>
      <c r="F29" s="27">
        <f>IFERROR(E29*(1+$B$4),"")</f>
        <v/>
      </c>
    </row>
    <row r="30">
      <c r="A30" s="10" t="n">
        <v>24</v>
      </c>
      <c r="B30" s="11" t="inlineStr">
        <is>
          <t>CALABRESA</t>
        </is>
      </c>
      <c r="C30" s="13">
        <f>IFERROR('Comparativo Geral'!F30*(1-'Margem real'!$B$4),"")</f>
        <v/>
      </c>
      <c r="D30" s="27">
        <f>IFERROR(C30*(1+$B$4),"")</f>
        <v/>
      </c>
      <c r="E30" s="13">
        <f>IFERROR('Comparativo Geral'!G30*(1-'Margem real'!$B$4),"")</f>
        <v/>
      </c>
      <c r="F30" s="27">
        <f>IFERROR(E30*(1+$B$4),"")</f>
        <v/>
      </c>
    </row>
    <row r="31">
      <c r="A31" s="10" t="n">
        <v>25</v>
      </c>
      <c r="B31" s="11" t="inlineStr">
        <is>
          <t>CALACATÚ</t>
        </is>
      </c>
      <c r="C31" s="13">
        <f>IFERROR('Comparativo Geral'!F31*(1-'Margem real'!$B$4),"")</f>
        <v/>
      </c>
      <c r="D31" s="27">
        <f>IFERROR(C31*(1+$B$4),"")</f>
        <v/>
      </c>
      <c r="E31" s="13">
        <f>IFERROR('Comparativo Geral'!G31*(1-'Margem real'!$B$4),"")</f>
        <v/>
      </c>
      <c r="F31" s="27">
        <f>IFERROR(E31*(1+$B$4),"")</f>
        <v/>
      </c>
    </row>
    <row r="32">
      <c r="A32" s="10" t="n">
        <v>26</v>
      </c>
      <c r="B32" s="11" t="inlineStr">
        <is>
          <t>CAMARÃO</t>
        </is>
      </c>
      <c r="C32" s="13">
        <f>IFERROR('Comparativo Geral'!F32*(1-'Margem real'!$B$4),"")</f>
        <v/>
      </c>
      <c r="D32" s="27">
        <f>IFERROR(C32*(1+$B$4),"")</f>
        <v/>
      </c>
      <c r="E32" s="13">
        <f>IFERROR('Comparativo Geral'!G32*(1-'Margem real'!$B$4),"")</f>
        <v/>
      </c>
      <c r="F32" s="27">
        <f>IFERROR(E32*(1+$B$4),"")</f>
        <v/>
      </c>
    </row>
    <row r="33">
      <c r="A33" s="10" t="n">
        <v>27</v>
      </c>
      <c r="B33" s="11" t="inlineStr">
        <is>
          <t>CAPRICHOSA</t>
        </is>
      </c>
      <c r="C33" s="13">
        <f>IFERROR('Comparativo Geral'!F33*(1-'Margem real'!$B$4),"")</f>
        <v/>
      </c>
      <c r="D33" s="27">
        <f>IFERROR(C33*(1+$B$4),"")</f>
        <v/>
      </c>
      <c r="E33" s="13">
        <f>IFERROR('Comparativo Geral'!G33*(1-'Margem real'!$B$4),"")</f>
        <v/>
      </c>
      <c r="F33" s="27">
        <f>IFERROR(E33*(1+$B$4),"")</f>
        <v/>
      </c>
    </row>
    <row r="34">
      <c r="A34" s="10" t="n">
        <v>28</v>
      </c>
      <c r="B34" s="11" t="inlineStr">
        <is>
          <t>CARNE SECA</t>
        </is>
      </c>
      <c r="C34" s="13">
        <f>IFERROR('Comparativo Geral'!F34*(1-'Margem real'!$B$4),"")</f>
        <v/>
      </c>
      <c r="D34" s="27">
        <f>IFERROR(C34*(1+$B$4),"")</f>
        <v/>
      </c>
      <c r="E34" s="13">
        <f>IFERROR('Comparativo Geral'!G34*(1-'Margem real'!$B$4),"")</f>
        <v/>
      </c>
      <c r="F34" s="27">
        <f>IFERROR(E34*(1+$B$4),"")</f>
        <v/>
      </c>
    </row>
    <row r="35">
      <c r="A35" s="10" t="n">
        <v>29</v>
      </c>
      <c r="B35" s="11" t="inlineStr">
        <is>
          <t>CATUPIRY</t>
        </is>
      </c>
      <c r="C35" s="13">
        <f>IFERROR('Comparativo Geral'!F35*(1-'Margem real'!$B$4),"")</f>
        <v/>
      </c>
      <c r="D35" s="27">
        <f>IFERROR(C35*(1+$B$4),"")</f>
        <v/>
      </c>
      <c r="E35" s="13">
        <f>IFERROR('Comparativo Geral'!G35*(1-'Margem real'!$B$4),"")</f>
        <v/>
      </c>
      <c r="F35" s="27">
        <f>IFERROR(E35*(1+$B$4),"")</f>
        <v/>
      </c>
    </row>
    <row r="36">
      <c r="A36" s="10" t="n">
        <v>30</v>
      </c>
      <c r="B36" s="11" t="inlineStr">
        <is>
          <t>CLASSE ESPECIAL</t>
        </is>
      </c>
      <c r="C36" s="13">
        <f>IFERROR('Comparativo Geral'!F36*(1-'Margem real'!$B$4),"")</f>
        <v/>
      </c>
      <c r="D36" s="27">
        <f>IFERROR(C36*(1+$B$4),"")</f>
        <v/>
      </c>
      <c r="E36" s="13">
        <f>IFERROR('Comparativo Geral'!G36*(1-'Margem real'!$B$4),"")</f>
        <v/>
      </c>
      <c r="F36" s="27">
        <f>IFERROR(E36*(1+$B$4),"")</f>
        <v/>
      </c>
    </row>
    <row r="37">
      <c r="A37" s="10" t="n">
        <v>31</v>
      </c>
      <c r="B37" s="11" t="inlineStr">
        <is>
          <t>DO PIZZAIOLO</t>
        </is>
      </c>
      <c r="C37" s="13">
        <f>IFERROR('Comparativo Geral'!F37*(1-'Margem real'!$B$4),"")</f>
        <v/>
      </c>
      <c r="D37" s="27">
        <f>IFERROR(C37*(1+$B$4),"")</f>
        <v/>
      </c>
      <c r="E37" s="13">
        <f>IFERROR('Comparativo Geral'!G37*(1-'Margem real'!$B$4),"")</f>
        <v/>
      </c>
      <c r="F37" s="27">
        <f>IFERROR(E37*(1+$B$4),"")</f>
        <v/>
      </c>
    </row>
    <row r="38">
      <c r="A38" s="10" t="n">
        <v>32</v>
      </c>
      <c r="B38" s="11" t="inlineStr">
        <is>
          <t>ESCAROLA</t>
        </is>
      </c>
      <c r="C38" s="13">
        <f>IFERROR('Comparativo Geral'!F38*(1-'Margem real'!$B$4),"")</f>
        <v/>
      </c>
      <c r="D38" s="27">
        <f>IFERROR(C38*(1+$B$4),"")</f>
        <v/>
      </c>
      <c r="E38" s="13">
        <f>IFERROR('Comparativo Geral'!G38*(1-'Margem real'!$B$4),"")</f>
        <v/>
      </c>
      <c r="F38" s="27">
        <f>IFERROR(E38*(1+$B$4),"")</f>
        <v/>
      </c>
    </row>
    <row r="39">
      <c r="A39" s="10" t="n">
        <v>33</v>
      </c>
      <c r="B39" s="11" t="inlineStr">
        <is>
          <t>ESCAROLA ESPECIAL</t>
        </is>
      </c>
      <c r="C39" s="13">
        <f>IFERROR('Comparativo Geral'!F39*(1-'Margem real'!$B$4),"")</f>
        <v/>
      </c>
      <c r="D39" s="27">
        <f>IFERROR(C39*(1+$B$4),"")</f>
        <v/>
      </c>
      <c r="E39" s="13">
        <f>IFERROR('Comparativo Geral'!G39*(1-'Margem real'!$B$4),"")</f>
        <v/>
      </c>
      <c r="F39" s="27">
        <f>IFERROR(E39*(1+$B$4),"")</f>
        <v/>
      </c>
    </row>
    <row r="40">
      <c r="A40" s="10" t="n">
        <v>34</v>
      </c>
      <c r="B40" s="11" t="inlineStr">
        <is>
          <t>ESPANHOLA</t>
        </is>
      </c>
      <c r="C40" s="13">
        <f>IFERROR('Comparativo Geral'!F40*(1-'Margem real'!$B$4),"")</f>
        <v/>
      </c>
      <c r="D40" s="27">
        <f>IFERROR(C40*(1+$B$4),"")</f>
        <v/>
      </c>
      <c r="E40" s="13">
        <f>IFERROR('Comparativo Geral'!G40*(1-'Margem real'!$B$4),"")</f>
        <v/>
      </c>
      <c r="F40" s="27">
        <f>IFERROR(E40*(1+$B$4),"")</f>
        <v/>
      </c>
    </row>
    <row r="41">
      <c r="A41" s="10" t="n">
        <v>35</v>
      </c>
      <c r="B41" s="11" t="inlineStr">
        <is>
          <t>ESPECIAL</t>
        </is>
      </c>
      <c r="C41" s="13">
        <f>IFERROR('Comparativo Geral'!F41*(1-'Margem real'!$B$4),"")</f>
        <v/>
      </c>
      <c r="D41" s="27">
        <f>IFERROR(C41*(1+$B$4),"")</f>
        <v/>
      </c>
      <c r="E41" s="13">
        <f>IFERROR('Comparativo Geral'!G41*(1-'Margem real'!$B$4),"")</f>
        <v/>
      </c>
      <c r="F41" s="27">
        <f>IFERROR(E41*(1+$B$4),"")</f>
        <v/>
      </c>
    </row>
    <row r="42">
      <c r="A42" s="10" t="n">
        <v>36</v>
      </c>
      <c r="B42" s="11" t="inlineStr">
        <is>
          <t>EXECUTIVA</t>
        </is>
      </c>
      <c r="C42" s="13">
        <f>IFERROR('Comparativo Geral'!F42*(1-'Margem real'!$B$4),"")</f>
        <v/>
      </c>
      <c r="D42" s="27">
        <f>IFERROR(C42*(1+$B$4),"")</f>
        <v/>
      </c>
      <c r="E42" s="13">
        <f>IFERROR('Comparativo Geral'!G42*(1-'Margem real'!$B$4),"")</f>
        <v/>
      </c>
      <c r="F42" s="27">
        <f>IFERROR(E42*(1+$B$4),"")</f>
        <v/>
      </c>
    </row>
    <row r="43">
      <c r="A43" s="10" t="n">
        <v>37</v>
      </c>
      <c r="B43" s="11" t="inlineStr">
        <is>
          <t>FAVORITA</t>
        </is>
      </c>
      <c r="C43" s="13">
        <f>IFERROR('Comparativo Geral'!F43*(1-'Margem real'!$B$4),"")</f>
        <v/>
      </c>
      <c r="D43" s="27">
        <f>IFERROR(C43*(1+$B$4),"")</f>
        <v/>
      </c>
      <c r="E43" s="13">
        <f>IFERROR('Comparativo Geral'!G43*(1-'Margem real'!$B$4),"")</f>
        <v/>
      </c>
      <c r="F43" s="27">
        <f>IFERROR(E43*(1+$B$4),"")</f>
        <v/>
      </c>
    </row>
    <row r="44">
      <c r="A44" s="10" t="n">
        <v>38</v>
      </c>
      <c r="B44" s="11" t="inlineStr">
        <is>
          <t>FILÉ MIGNON</t>
        </is>
      </c>
      <c r="C44" s="13">
        <f>IFERROR('Comparativo Geral'!F44*(1-'Margem real'!$B$4),"")</f>
        <v/>
      </c>
      <c r="D44" s="27">
        <f>IFERROR(C44*(1+$B$4),"")</f>
        <v/>
      </c>
      <c r="E44" s="13">
        <f>IFERROR('Comparativo Geral'!G44*(1-'Margem real'!$B$4),"")</f>
        <v/>
      </c>
      <c r="F44" s="27">
        <f>IFERROR(E44*(1+$B$4),"")</f>
        <v/>
      </c>
    </row>
    <row r="45">
      <c r="A45" s="10" t="n">
        <v>39</v>
      </c>
      <c r="B45" s="11" t="inlineStr">
        <is>
          <t>FRANGO CATUPIRY</t>
        </is>
      </c>
      <c r="C45" s="13">
        <f>IFERROR('Comparativo Geral'!F45*(1-'Margem real'!$B$4),"")</f>
        <v/>
      </c>
      <c r="D45" s="27">
        <f>IFERROR(C45*(1+$B$4),"")</f>
        <v/>
      </c>
      <c r="E45" s="13">
        <f>IFERROR('Comparativo Geral'!G45*(1-'Margem real'!$B$4),"")</f>
        <v/>
      </c>
      <c r="F45" s="27">
        <f>IFERROR(E45*(1+$B$4),"")</f>
        <v/>
      </c>
    </row>
    <row r="46">
      <c r="A46" s="10" t="n">
        <v>40</v>
      </c>
      <c r="B46" s="11" t="inlineStr">
        <is>
          <t>FRANGO ESPECIAL</t>
        </is>
      </c>
      <c r="C46" s="13">
        <f>IFERROR('Comparativo Geral'!F46*(1-'Margem real'!$B$4),"")</f>
        <v/>
      </c>
      <c r="D46" s="27">
        <f>IFERROR(C46*(1+$B$4),"")</f>
        <v/>
      </c>
      <c r="E46" s="13">
        <f>IFERROR('Comparativo Geral'!G46*(1-'Margem real'!$B$4),"")</f>
        <v/>
      </c>
      <c r="F46" s="27">
        <f>IFERROR(E46*(1+$B$4),"")</f>
        <v/>
      </c>
    </row>
    <row r="47">
      <c r="A47" s="10" t="n">
        <v>41</v>
      </c>
      <c r="B47" s="11" t="inlineStr">
        <is>
          <t>JARDINEIRA</t>
        </is>
      </c>
      <c r="C47" s="13">
        <f>IFERROR('Comparativo Geral'!F47*(1-'Margem real'!$B$4),"")</f>
        <v/>
      </c>
      <c r="D47" s="27">
        <f>IFERROR(C47*(1+$B$4),"")</f>
        <v/>
      </c>
      <c r="E47" s="13">
        <f>IFERROR('Comparativo Geral'!G47*(1-'Margem real'!$B$4),"")</f>
        <v/>
      </c>
      <c r="F47" s="27">
        <f>IFERROR(E47*(1+$B$4),"")</f>
        <v/>
      </c>
    </row>
    <row r="48">
      <c r="A48" s="10" t="n">
        <v>42</v>
      </c>
      <c r="B48" s="11" t="inlineStr">
        <is>
          <t>LIGHT</t>
        </is>
      </c>
      <c r="C48" s="13">
        <f>IFERROR('Comparativo Geral'!F48*(1-'Margem real'!$B$4),"")</f>
        <v/>
      </c>
      <c r="D48" s="27">
        <f>IFERROR(C48*(1+$B$4),"")</f>
        <v/>
      </c>
      <c r="E48" s="13">
        <f>IFERROR('Comparativo Geral'!G48*(1-'Margem real'!$B$4),"")</f>
        <v/>
      </c>
      <c r="F48" s="27">
        <f>IFERROR(E48*(1+$B$4),"")</f>
        <v/>
      </c>
    </row>
    <row r="49">
      <c r="A49" s="10" t="n">
        <v>43</v>
      </c>
      <c r="B49" s="11" t="inlineStr">
        <is>
          <t>LOMBO</t>
        </is>
      </c>
      <c r="C49" s="13">
        <f>IFERROR('Comparativo Geral'!F49*(1-'Margem real'!$B$4),"")</f>
        <v/>
      </c>
      <c r="D49" s="27">
        <f>IFERROR(C49*(1+$B$4),"")</f>
        <v/>
      </c>
      <c r="E49" s="13">
        <f>IFERROR('Comparativo Geral'!G49*(1-'Margem real'!$B$4),"")</f>
        <v/>
      </c>
      <c r="F49" s="27">
        <f>IFERROR(E49*(1+$B$4),"")</f>
        <v/>
      </c>
    </row>
    <row r="50">
      <c r="A50" s="10" t="n">
        <v>44</v>
      </c>
      <c r="B50" s="11" t="inlineStr">
        <is>
          <t>LOMBO II</t>
        </is>
      </c>
      <c r="C50" s="13">
        <f>IFERROR('Comparativo Geral'!F50*(1-'Margem real'!$B$4),"")</f>
        <v/>
      </c>
      <c r="D50" s="27">
        <f>IFERROR(C50*(1+$B$4),"")</f>
        <v/>
      </c>
      <c r="E50" s="13">
        <f>IFERROR('Comparativo Geral'!G50*(1-'Margem real'!$B$4),"")</f>
        <v/>
      </c>
      <c r="F50" s="27">
        <f>IFERROR(E50*(1+$B$4),"")</f>
        <v/>
      </c>
    </row>
    <row r="51">
      <c r="A51" s="10" t="n">
        <v>45</v>
      </c>
      <c r="B51" s="11" t="inlineStr">
        <is>
          <t>MARGUERITA</t>
        </is>
      </c>
      <c r="C51" s="13">
        <f>IFERROR('Comparativo Geral'!F51*(1-'Margem real'!$B$4),"")</f>
        <v/>
      </c>
      <c r="D51" s="27">
        <f>IFERROR(C51*(1+$B$4),"")</f>
        <v/>
      </c>
      <c r="E51" s="13">
        <f>IFERROR('Comparativo Geral'!G51*(1-'Margem real'!$B$4),"")</f>
        <v/>
      </c>
      <c r="F51" s="27">
        <f>IFERROR(E51*(1+$B$4),"")</f>
        <v/>
      </c>
    </row>
    <row r="52">
      <c r="A52" s="10" t="n">
        <v>46</v>
      </c>
      <c r="B52" s="11" t="inlineStr">
        <is>
          <t>MARGUERITA ESPECIAL</t>
        </is>
      </c>
      <c r="C52" s="13">
        <f>IFERROR('Comparativo Geral'!F52*(1-'Margem real'!$B$4),"")</f>
        <v/>
      </c>
      <c r="D52" s="27">
        <f>IFERROR(C52*(1+$B$4),"")</f>
        <v/>
      </c>
      <c r="E52" s="13">
        <f>IFERROR('Comparativo Geral'!G52*(1-'Margem real'!$B$4),"")</f>
        <v/>
      </c>
      <c r="F52" s="27">
        <f>IFERROR(E52*(1+$B$4),"")</f>
        <v/>
      </c>
    </row>
    <row r="53">
      <c r="A53" s="10" t="n">
        <v>47</v>
      </c>
      <c r="B53" s="11" t="inlineStr">
        <is>
          <t>MILHO</t>
        </is>
      </c>
      <c r="C53" s="13">
        <f>IFERROR('Comparativo Geral'!F53*(1-'Margem real'!$B$4),"")</f>
        <v/>
      </c>
      <c r="D53" s="27">
        <f>IFERROR(C53*(1+$B$4),"")</f>
        <v/>
      </c>
      <c r="E53" s="13">
        <f>IFERROR('Comparativo Geral'!G53*(1-'Margem real'!$B$4),"")</f>
        <v/>
      </c>
      <c r="F53" s="27">
        <f>IFERROR(E53*(1+$B$4),"")</f>
        <v/>
      </c>
    </row>
    <row r="54">
      <c r="A54" s="10" t="n">
        <v>48</v>
      </c>
      <c r="B54" s="11" t="inlineStr">
        <is>
          <t>MISTA</t>
        </is>
      </c>
      <c r="C54" s="13">
        <f>IFERROR('Comparativo Geral'!F54*(1-'Margem real'!$B$4),"")</f>
        <v/>
      </c>
      <c r="D54" s="27">
        <f>IFERROR(C54*(1+$B$4),"")</f>
        <v/>
      </c>
      <c r="E54" s="13">
        <f>IFERROR('Comparativo Geral'!G54*(1-'Margem real'!$B$4),"")</f>
        <v/>
      </c>
      <c r="F54" s="27">
        <f>IFERROR(E54*(1+$B$4),"")</f>
        <v/>
      </c>
    </row>
    <row r="55">
      <c r="A55" s="10" t="n">
        <v>49</v>
      </c>
      <c r="B55" s="11" t="inlineStr">
        <is>
          <t>MUSSARELA</t>
        </is>
      </c>
      <c r="C55" s="13">
        <f>IFERROR('Comparativo Geral'!F55*(1-'Margem real'!$B$4),"")</f>
        <v/>
      </c>
      <c r="D55" s="27">
        <f>IFERROR(C55*(1+$B$4),"")</f>
        <v/>
      </c>
      <c r="E55" s="13">
        <f>IFERROR('Comparativo Geral'!G55*(1-'Margem real'!$B$4),"")</f>
        <v/>
      </c>
      <c r="F55" s="27">
        <f>IFERROR(E55*(1+$B$4),"")</f>
        <v/>
      </c>
    </row>
    <row r="56">
      <c r="A56" s="10" t="n">
        <v>50</v>
      </c>
      <c r="B56" s="11" t="inlineStr">
        <is>
          <t>NAPOLITANA</t>
        </is>
      </c>
      <c r="C56" s="13">
        <f>IFERROR('Comparativo Geral'!F56*(1-'Margem real'!$B$4),"")</f>
        <v/>
      </c>
      <c r="D56" s="27">
        <f>IFERROR(C56*(1+$B$4),"")</f>
        <v/>
      </c>
      <c r="E56" s="13">
        <f>IFERROR('Comparativo Geral'!G56*(1-'Margem real'!$B$4),"")</f>
        <v/>
      </c>
      <c r="F56" s="27">
        <f>IFERROR(E56*(1+$B$4),"")</f>
        <v/>
      </c>
    </row>
    <row r="57">
      <c r="A57" s="10" t="n">
        <v>51</v>
      </c>
      <c r="B57" s="11" t="inlineStr">
        <is>
          <t>PALMITO</t>
        </is>
      </c>
      <c r="C57" s="13">
        <f>IFERROR('Comparativo Geral'!F57*(1-'Margem real'!$B$4),"")</f>
        <v/>
      </c>
      <c r="D57" s="27">
        <f>IFERROR(C57*(1+$B$4),"")</f>
        <v/>
      </c>
      <c r="E57" s="13">
        <f>IFERROR('Comparativo Geral'!G57*(1-'Margem real'!$B$4),"")</f>
        <v/>
      </c>
      <c r="F57" s="27">
        <f>IFERROR(E57*(1+$B$4),"")</f>
        <v/>
      </c>
    </row>
    <row r="58">
      <c r="A58" s="10" t="n">
        <v>52</v>
      </c>
      <c r="B58" s="11" t="inlineStr">
        <is>
          <t>PEPPERONE</t>
        </is>
      </c>
      <c r="C58" s="13">
        <f>IFERROR('Comparativo Geral'!F58*(1-'Margem real'!$B$4),"")</f>
        <v/>
      </c>
      <c r="D58" s="27">
        <f>IFERROR(C58*(1+$B$4),"")</f>
        <v/>
      </c>
      <c r="E58" s="13">
        <f>IFERROR('Comparativo Geral'!G58*(1-'Margem real'!$B$4),"")</f>
        <v/>
      </c>
      <c r="F58" s="27">
        <f>IFERROR(E58*(1+$B$4),"")</f>
        <v/>
      </c>
    </row>
    <row r="59">
      <c r="A59" s="10" t="n">
        <v>53</v>
      </c>
      <c r="B59" s="11" t="inlineStr">
        <is>
          <t>PERUANA</t>
        </is>
      </c>
      <c r="C59" s="13">
        <f>IFERROR('Comparativo Geral'!F59*(1-'Margem real'!$B$4),"")</f>
        <v/>
      </c>
      <c r="D59" s="27">
        <f>IFERROR(C59*(1+$B$4),"")</f>
        <v/>
      </c>
      <c r="E59" s="13">
        <f>IFERROR('Comparativo Geral'!G59*(1-'Margem real'!$B$4),"")</f>
        <v/>
      </c>
      <c r="F59" s="27">
        <f>IFERROR(E59*(1+$B$4),"")</f>
        <v/>
      </c>
    </row>
    <row r="60">
      <c r="A60" s="10" t="n">
        <v>54</v>
      </c>
      <c r="B60" s="11" t="inlineStr">
        <is>
          <t>PORTUGUESA</t>
        </is>
      </c>
      <c r="C60" s="13">
        <f>IFERROR('Comparativo Geral'!F60*(1-'Margem real'!$B$4),"")</f>
        <v/>
      </c>
      <c r="D60" s="27">
        <f>IFERROR(C60*(1+$B$4),"")</f>
        <v/>
      </c>
      <c r="E60" s="13">
        <f>IFERROR('Comparativo Geral'!G60*(1-'Margem real'!$B$4),"")</f>
        <v/>
      </c>
      <c r="F60" s="27">
        <f>IFERROR(E60*(1+$B$4),"")</f>
        <v/>
      </c>
    </row>
    <row r="61">
      <c r="A61" s="10" t="n">
        <v>55</v>
      </c>
      <c r="B61" s="11" t="inlineStr">
        <is>
          <t>PORTUGUESA II</t>
        </is>
      </c>
      <c r="C61" s="13">
        <f>IFERROR('Comparativo Geral'!F61*(1-'Margem real'!$B$4),"")</f>
        <v/>
      </c>
      <c r="D61" s="27">
        <f>IFERROR(C61*(1+$B$4),"")</f>
        <v/>
      </c>
      <c r="E61" s="13">
        <f>IFERROR('Comparativo Geral'!G61*(1-'Margem real'!$B$4),"")</f>
        <v/>
      </c>
      <c r="F61" s="27">
        <f>IFERROR(E61*(1+$B$4),"")</f>
        <v/>
      </c>
    </row>
    <row r="62">
      <c r="A62" s="10" t="n">
        <v>56</v>
      </c>
      <c r="B62" s="11" t="inlineStr">
        <is>
          <t>PRIMEIRA CLASSE</t>
        </is>
      </c>
      <c r="C62" s="13">
        <f>IFERROR('Comparativo Geral'!F62*(1-'Margem real'!$B$4),"")</f>
        <v/>
      </c>
      <c r="D62" s="27">
        <f>IFERROR(C62*(1+$B$4),"")</f>
        <v/>
      </c>
      <c r="E62" s="13">
        <f>IFERROR('Comparativo Geral'!G62*(1-'Margem real'!$B$4),"")</f>
        <v/>
      </c>
      <c r="F62" s="27">
        <f>IFERROR(E62*(1+$B$4),"")</f>
        <v/>
      </c>
    </row>
    <row r="63">
      <c r="A63" s="10" t="n">
        <v>57</v>
      </c>
      <c r="B63" s="11" t="inlineStr">
        <is>
          <t>ROMANA</t>
        </is>
      </c>
      <c r="C63" s="13">
        <f>IFERROR('Comparativo Geral'!F63*(1-'Margem real'!$B$4),"")</f>
        <v/>
      </c>
      <c r="D63" s="27">
        <f>IFERROR(C63*(1+$B$4),"")</f>
        <v/>
      </c>
      <c r="E63" s="13">
        <f>IFERROR('Comparativo Geral'!G63*(1-'Margem real'!$B$4),"")</f>
        <v/>
      </c>
      <c r="F63" s="27">
        <f>IFERROR(E63*(1+$B$4),"")</f>
        <v/>
      </c>
    </row>
    <row r="64">
      <c r="A64" s="10" t="n">
        <v>58</v>
      </c>
      <c r="B64" s="11" t="inlineStr">
        <is>
          <t>RÚCULA</t>
        </is>
      </c>
      <c r="C64" s="13">
        <f>IFERROR('Comparativo Geral'!F64*(1-'Margem real'!$B$4),"")</f>
        <v/>
      </c>
      <c r="D64" s="27">
        <f>IFERROR(C64*(1+$B$4),"")</f>
        <v/>
      </c>
      <c r="E64" s="13">
        <f>IFERROR('Comparativo Geral'!G64*(1-'Margem real'!$B$4),"")</f>
        <v/>
      </c>
      <c r="F64" s="27">
        <f>IFERROR(E64*(1+$B$4),"")</f>
        <v/>
      </c>
    </row>
    <row r="65">
      <c r="A65" s="10" t="n">
        <v>59</v>
      </c>
      <c r="B65" s="11" t="inlineStr">
        <is>
          <t>SICILIANA</t>
        </is>
      </c>
      <c r="C65" s="13">
        <f>IFERROR('Comparativo Geral'!F65*(1-'Margem real'!$B$4),"")</f>
        <v/>
      </c>
      <c r="D65" s="27">
        <f>IFERROR(C65*(1+$B$4),"")</f>
        <v/>
      </c>
      <c r="E65" s="13">
        <f>IFERROR('Comparativo Geral'!G65*(1-'Margem real'!$B$4),"")</f>
        <v/>
      </c>
      <c r="F65" s="27">
        <f>IFERROR(E65*(1+$B$4),"")</f>
        <v/>
      </c>
    </row>
    <row r="66">
      <c r="A66" s="10" t="n">
        <v>60</v>
      </c>
      <c r="B66" s="11" t="inlineStr">
        <is>
          <t>STROGONOFF</t>
        </is>
      </c>
      <c r="C66" s="13">
        <f>IFERROR('Comparativo Geral'!F66*(1-'Margem real'!$B$4),"")</f>
        <v/>
      </c>
      <c r="D66" s="27">
        <f>IFERROR(C66*(1+$B$4),"")</f>
        <v/>
      </c>
      <c r="E66" s="13">
        <f>IFERROR('Comparativo Geral'!G66*(1-'Margem real'!$B$4),"")</f>
        <v/>
      </c>
      <c r="F66" s="27">
        <f>IFERROR(E66*(1+$B$4),"")</f>
        <v/>
      </c>
    </row>
    <row r="67">
      <c r="A67" s="10" t="n">
        <v>61</v>
      </c>
      <c r="B67" s="11" t="inlineStr">
        <is>
          <t>TOMATE SECO</t>
        </is>
      </c>
      <c r="C67" s="13">
        <f>IFERROR('Comparativo Geral'!F67*(1-'Margem real'!$B$4),"")</f>
        <v/>
      </c>
      <c r="D67" s="27">
        <f>IFERROR(C67*(1+$B$4),"")</f>
        <v/>
      </c>
      <c r="E67" s="13">
        <f>IFERROR('Comparativo Geral'!G67*(1-'Margem real'!$B$4),"")</f>
        <v/>
      </c>
      <c r="F67" s="27">
        <f>IFERROR(E67*(1+$B$4),"")</f>
        <v/>
      </c>
    </row>
    <row r="68">
      <c r="A68" s="10" t="n">
        <v>62</v>
      </c>
      <c r="B68" s="11" t="inlineStr">
        <is>
          <t>TOSCANA</t>
        </is>
      </c>
      <c r="C68" s="13">
        <f>IFERROR('Comparativo Geral'!F68*(1-'Margem real'!$B$4),"")</f>
        <v/>
      </c>
      <c r="D68" s="27">
        <f>IFERROR(C68*(1+$B$4),"")</f>
        <v/>
      </c>
      <c r="E68" s="13">
        <f>IFERROR('Comparativo Geral'!G68*(1-'Margem real'!$B$4),"")</f>
        <v/>
      </c>
      <c r="F68" s="27">
        <f>IFERROR(E68*(1+$B$4),"")</f>
        <v/>
      </c>
    </row>
    <row r="69">
      <c r="A69" s="10" t="n">
        <v>63</v>
      </c>
      <c r="B69" s="11" t="inlineStr">
        <is>
          <t>VEGETARIANA</t>
        </is>
      </c>
      <c r="C69" s="13">
        <f>IFERROR('Comparativo Geral'!F69*(1-'Margem real'!$B$4),"")</f>
        <v/>
      </c>
      <c r="D69" s="27">
        <f>IFERROR(C69*(1+$B$4),"")</f>
        <v/>
      </c>
      <c r="E69" s="13">
        <f>IFERROR('Comparativo Geral'!G69*(1-'Margem real'!$B$4),"")</f>
        <v/>
      </c>
      <c r="F69" s="27">
        <f>IFERROR(E69*(1+$B$4),"")</f>
        <v/>
      </c>
    </row>
    <row r="70">
      <c r="A70" s="10" t="n">
        <v>64</v>
      </c>
      <c r="B70" s="11" t="inlineStr">
        <is>
          <t>BANANA</t>
        </is>
      </c>
      <c r="C70" s="13">
        <f>IFERROR('Comparativo Geral'!F70*(1-'Margem real'!$B$4),"")</f>
        <v/>
      </c>
      <c r="D70" s="27">
        <f>IFERROR(C70*(1+$B$4),"")</f>
        <v/>
      </c>
      <c r="E70" s="13">
        <f>IFERROR('Comparativo Geral'!G70*(1-'Margem real'!$B$4),"")</f>
        <v/>
      </c>
      <c r="F70" s="27">
        <f>IFERROR(E70*(1+$B$4),"")</f>
        <v/>
      </c>
    </row>
    <row r="71">
      <c r="A71" s="10" t="n">
        <v>65</v>
      </c>
      <c r="B71" s="11" t="inlineStr">
        <is>
          <t>BRIGADEIRO</t>
        </is>
      </c>
      <c r="C71" s="13">
        <f>IFERROR('Comparativo Geral'!F71*(1-'Margem real'!$B$4),"")</f>
        <v/>
      </c>
      <c r="D71" s="27">
        <f>IFERROR(C71*(1+$B$4),"")</f>
        <v/>
      </c>
      <c r="E71" s="13">
        <f>IFERROR('Comparativo Geral'!G71*(1-'Margem real'!$B$4),"")</f>
        <v/>
      </c>
      <c r="F71" s="27">
        <f>IFERROR(E71*(1+$B$4),"")</f>
        <v/>
      </c>
    </row>
    <row r="72">
      <c r="A72" s="10" t="n">
        <v>66</v>
      </c>
      <c r="B72" s="11" t="inlineStr">
        <is>
          <t>ROMEU E JULIETA</t>
        </is>
      </c>
      <c r="C72" s="13">
        <f>IFERROR('Comparativo Geral'!F72*(1-'Margem real'!$B$4),"")</f>
        <v/>
      </c>
      <c r="D72" s="27">
        <f>IFERROR(C72*(1+$B$4),"")</f>
        <v/>
      </c>
      <c r="E72" s="13">
        <f>IFERROR('Comparativo Geral'!G72*(1-'Margem real'!$B$4),"")</f>
        <v/>
      </c>
      <c r="F72" s="27">
        <f>IFERROR(E72*(1+$B$4),"")</f>
        <v/>
      </c>
    </row>
    <row r="73">
      <c r="A73" s="10" t="n">
        <v>67</v>
      </c>
      <c r="B73" s="11" t="inlineStr">
        <is>
          <t>CHOCOLATE COM MORANGO</t>
        </is>
      </c>
      <c r="C73" s="13">
        <f>IFERROR('Comparativo Geral'!F73*(1-'Margem real'!$B$4),"")</f>
        <v/>
      </c>
      <c r="D73" s="27">
        <f>IFERROR(C73*(1+$B$4),"")</f>
        <v/>
      </c>
      <c r="E73" s="13">
        <f>IFERROR('Comparativo Geral'!G73*(1-'Margem real'!$B$4),"")</f>
        <v/>
      </c>
      <c r="F73" s="27">
        <f>IFERROR(E73*(1+$B$4),"")</f>
        <v/>
      </c>
    </row>
    <row r="74">
      <c r="A74" s="10" t="n">
        <v>68</v>
      </c>
      <c r="B74" s="11" t="inlineStr">
        <is>
          <t>TORTA HOLANDESA</t>
        </is>
      </c>
      <c r="C74" s="13">
        <f>IFERROR('Comparativo Geral'!F74*(1-'Margem real'!$B$4),"")</f>
        <v/>
      </c>
      <c r="D74" s="27">
        <f>IFERROR(C74*(1+$B$4),"")</f>
        <v/>
      </c>
      <c r="E74" s="13">
        <f>IFERROR('Comparativo Geral'!G74*(1-'Margem real'!$B$4),"")</f>
        <v/>
      </c>
      <c r="F74" s="27">
        <f>IFERROR(E74*(1+$B$4),"")</f>
        <v/>
      </c>
    </row>
  </sheetData>
  <mergeCells count="3">
    <mergeCell ref="A2:F2"/>
    <mergeCell ref="A1:F1"/>
    <mergeCell ref="D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2026-06-12T02:49:03Z</dcterms:created>
  <dcterms:modified xmlns:dcterms="http://purl.org/dc/terms/" xmlns:xsi="http://www.w3.org/2001/XMLSchema-instance" xsi:type="dcterms:W3CDTF">2026-06-12T02:49:03Z</dcterms:modified>
</cp:coreProperties>
</file>